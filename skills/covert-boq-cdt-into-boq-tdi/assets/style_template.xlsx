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Sô_la_mviê_cNa_y"/>
  <bookViews>
    <workbookView visibility="visible" minimized="0" showHorizontalScroll="1" showVerticalScroll="1" showSheetTabs="1" xWindow="-28920" yWindow="555" windowWidth="29040" windowHeight="15720" tabRatio="600" firstSheet="7" activeTab="1" autoFilterDateGrouping="1"/>
  </bookViews>
  <sheets>
    <sheet xmlns:r="http://schemas.openxmlformats.org/officeDocument/2006/relationships" name="_SUM" sheetId="1" state="visible" r:id="rId1"/>
    <sheet xmlns:r="http://schemas.openxmlformats.org/officeDocument/2006/relationships" name="_TPL" sheetId="2" state="visible" r:id="rId2"/>
  </sheets>
  <definedNames>
    <definedName name="_xlnm.Print_Titles" localSheetId="0">'_SUM'!$32:$35</definedName>
    <definedName name="_xlnm.Print_Titles" localSheetId="1">'_TPL'!$7:$12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#,##0.000"/>
    <numFmt numFmtId="165" formatCode="#,###"/>
    <numFmt numFmtId="166" formatCode="#,###.0"/>
    <numFmt numFmtId="167" formatCode="_-* #,##0;\-* #,##0;_-* &quot;-&quot;;_-@"/>
    <numFmt numFmtId="168" formatCode="_-* #,##0.00\ _₫_-;\-* #,##0.00\ _₫_-;_-* &quot;-&quot;??\ _₫_-;_-@_-"/>
    <numFmt numFmtId="169" formatCode="_(* #,##0_);_(* \(#,##0\);_(* &quot;-&quot;??_);_(@_)"/>
    <numFmt numFmtId="170" formatCode="0_);[Red]\(0\)"/>
    <numFmt numFmtId="171" formatCode="_-* #,##0.00;\-* #,##0.00;_-* &quot;-&quot;;_-@"/>
    <numFmt numFmtId="172" formatCode="_-* #,##0\ _₫_-;\-* #,##0\ _₫_-;_-* &quot;-&quot;\ _₫_-;_-@_-"/>
    <numFmt numFmtId="173" formatCode="_-* #,##0.000;\-* #,##0.000;_-* &quot;-&quot;;_-@"/>
    <numFmt numFmtId="174" formatCode="_-* #,##0.00_-;\-* #,##0.00_-;_-* &quot;-&quot;??_-;_-@_-"/>
    <numFmt numFmtId="175" formatCode="[$-409]dd/mmm/yy;@"/>
    <numFmt numFmtId="176" formatCode="[$-409]d\-mmm;@"/>
    <numFmt numFmtId="177" formatCode="[$-409]mmmm\-yy;@"/>
    <numFmt numFmtId="178" formatCode="[$-409]d\-mmm\-yy;@"/>
    <numFmt numFmtId="179" formatCode="_-* #,##0_-;\-* #,##0_-;_-* &quot;-&quot;??_-;_-@_-"/>
    <numFmt numFmtId="180" formatCode="0.0%"/>
  </numFmts>
  <fonts count="93">
    <font>
      <name val="Arial"/>
      <charset val="163"/>
      <family val="2"/>
      <color theme="1"/>
      <sz val="11"/>
      <scheme val="minor"/>
    </font>
    <font>
      <name val="Arial"/>
      <charset val="163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b val="1"/>
      <color rgb="FFFF0000"/>
      <sz val="14"/>
    </font>
    <font>
      <name val="VNI-Aptima"/>
      <sz val="10"/>
    </font>
    <font>
      <name val="Times New Roman"/>
      <family val="1"/>
      <sz val="11"/>
    </font>
    <font>
      <name val="Times New Roman"/>
      <family val="1"/>
      <b val="1"/>
      <color rgb="FFFF0000"/>
      <sz val="12"/>
    </font>
    <font>
      <name val="Times New Roman"/>
      <family val="1"/>
      <b val="1"/>
      <color theme="3"/>
      <sz val="10"/>
    </font>
    <font>
      <name val="Times New Roman"/>
      <family val="1"/>
      <b val="1"/>
      <color rgb="FF002060"/>
      <sz val="20"/>
    </font>
    <font>
      <name val="Times New Roman"/>
      <family val="1"/>
      <b val="1"/>
      <color rgb="FF002060"/>
      <sz val="12"/>
    </font>
    <font>
      <name val="Times New Roman"/>
      <family val="1"/>
      <color rgb="FF002060"/>
      <sz val="12"/>
    </font>
    <font>
      <name val="Times New Roman"/>
      <family val="1"/>
      <color rgb="FF002060"/>
      <sz val="11"/>
    </font>
    <font>
      <name val="Times New Roman"/>
      <family val="1"/>
      <b val="1"/>
      <color rgb="FFC00000"/>
      <sz val="11"/>
    </font>
    <font>
      <name val="Times New Roman"/>
      <family val="1"/>
      <b val="1"/>
      <color rgb="FF002060"/>
      <sz val="11"/>
    </font>
    <font>
      <name val="Arial"/>
      <charset val="163"/>
      <family val="2"/>
      <sz val="10"/>
    </font>
    <font>
      <name val="Times New Roman"/>
      <family val="1"/>
      <b val="1"/>
      <color rgb="FF002060"/>
      <sz val="14"/>
    </font>
    <font>
      <name val="Times New Roman"/>
      <family val="1"/>
      <b val="1"/>
      <color rgb="FF002060"/>
      <sz val="24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VNI-Times"/>
      <sz val="10"/>
    </font>
    <font>
      <name val="Times New Romman"/>
      <charset val="163"/>
      <b val="1"/>
      <color rgb="FFFF0000"/>
      <sz val="14"/>
    </font>
    <font>
      <name val="Times New Romman"/>
      <charset val="163"/>
      <sz val="10"/>
    </font>
    <font>
      <name val="Times New Romman"/>
      <charset val="163"/>
      <sz val="11"/>
    </font>
    <font>
      <name val="Times New Romman"/>
      <charset val="163"/>
      <b val="1"/>
      <sz val="16"/>
    </font>
    <font>
      <name val="Times New Romman"/>
      <charset val="163"/>
      <color theme="1"/>
      <sz val="11"/>
    </font>
    <font>
      <name val="Times New Romman"/>
      <charset val="163"/>
      <b val="1"/>
      <color rgb="FFFF0000"/>
      <sz val="12"/>
    </font>
    <font>
      <name val="Times New Romman"/>
      <charset val="163"/>
      <sz val="12"/>
    </font>
    <font>
      <name val="Times New Romman"/>
      <charset val="163"/>
      <b val="1"/>
      <color theme="3"/>
      <sz val="10"/>
    </font>
    <font>
      <name val="Times New Romman"/>
      <charset val="163"/>
      <b val="1"/>
      <color rgb="FF002060"/>
      <sz val="20"/>
    </font>
    <font>
      <name val="Times New Roman"/>
      <family val="1"/>
      <color theme="1"/>
      <sz val="11"/>
    </font>
    <font>
      <name val="Times New Roman"/>
      <family val="1"/>
      <b val="1"/>
      <color rgb="FF0000FF"/>
      <sz val="10"/>
    </font>
    <font>
      <name val="Times New Roman"/>
      <family val="1"/>
      <color rgb="FF002060"/>
      <sz val="10"/>
    </font>
    <font>
      <name val="Times New Roman"/>
      <family val="1"/>
      <i val="1"/>
      <color rgb="FF002060"/>
      <sz val="11"/>
    </font>
    <font>
      <name val="Times New Roman"/>
      <family val="1"/>
      <color rgb="FFFF0000"/>
      <sz val="11"/>
    </font>
    <font>
      <name val="Times New Roman"/>
      <family val="1"/>
      <color rgb="FF0070C0"/>
      <sz val="11"/>
    </font>
    <font>
      <name val="Times New Roman"/>
      <family val="1"/>
      <b val="1"/>
      <color rgb="FF002060"/>
      <sz val="10"/>
    </font>
    <font>
      <name val="Times New Roman"/>
      <family val="1"/>
      <b val="1"/>
      <color rgb="FF0000FF"/>
      <sz val="11"/>
    </font>
    <font>
      <name val="Arial"/>
      <family val="2"/>
      <color theme="1"/>
      <sz val="11"/>
      <scheme val="minor"/>
    </font>
    <font>
      <name val="Times New Roman"/>
      <family val="1"/>
      <color theme="8" tint="-0.499984740745262"/>
      <sz val="11"/>
    </font>
    <font>
      <name val="Times New Roman"/>
      <family val="1"/>
      <b val="1"/>
      <i val="1"/>
      <color rgb="FF002060"/>
      <sz val="11"/>
    </font>
    <font>
      <name val="Times New Roman"/>
      <charset val="163"/>
      <family val="1"/>
      <b val="1"/>
      <color rgb="FF002060"/>
      <sz val="11"/>
    </font>
    <font>
      <name val="Times New Roman"/>
      <charset val="163"/>
      <family val="1"/>
      <color rgb="FF002060"/>
      <sz val="11"/>
    </font>
    <font>
      <name val="Times New Roman"/>
      <charset val="163"/>
      <family val="1"/>
      <sz val="11"/>
    </font>
    <font>
      <name val="Times New Roman"/>
      <family val="1"/>
      <b val="1"/>
      <color theme="1"/>
      <sz val="11"/>
    </font>
    <font>
      <name val="Arial"/>
      <charset val="163"/>
      <family val="2"/>
      <color rgb="FF002060"/>
      <sz val="11"/>
      <scheme val="minor"/>
    </font>
    <font>
      <name val="Times New Romman"/>
      <charset val="163"/>
      <b val="1"/>
      <sz val="11"/>
    </font>
    <font>
      <name val="Times New Romman"/>
      <charset val="163"/>
      <color rgb="FF002060"/>
      <sz val="11"/>
    </font>
    <font>
      <name val="Times New Romman"/>
      <charset val="163"/>
      <b val="1"/>
      <color rgb="FF002060"/>
      <sz val="11"/>
    </font>
    <font>
      <name val="Times New Romman"/>
      <b val="1"/>
      <color rgb="FF002060"/>
      <sz val="11"/>
    </font>
    <font>
      <name val="Times New Romman"/>
      <b val="1"/>
      <sz val="11"/>
    </font>
    <font>
      <name val="굴림"/>
      <charset val="129"/>
      <family val="3"/>
      <sz val="9"/>
    </font>
    <font>
      <name val="Times New Roman"/>
      <family val="1"/>
      <b val="1"/>
      <color rgb="FF002060"/>
      <sz val="8"/>
    </font>
    <font>
      <name val="Times New Roman"/>
      <charset val="163"/>
      <family val="1"/>
      <b val="1"/>
      <color rgb="FFDE5A00"/>
      <sz val="16"/>
    </font>
    <font>
      <name val="Times New Roman"/>
      <charset val="163"/>
      <family val="1"/>
      <b val="1"/>
      <color rgb="FFDE5A00"/>
      <sz val="13"/>
    </font>
    <font>
      <name val="Times New Roman"/>
      <family val="1"/>
      <b val="1"/>
      <color rgb="FF0070C0"/>
      <sz val="8"/>
    </font>
    <font>
      <name val="Times New Roman"/>
      <family val="1"/>
      <b val="1"/>
      <i val="1"/>
      <color rgb="FF0070C0"/>
      <sz val="8"/>
    </font>
    <font>
      <name val="Times New Roman"/>
      <family val="1"/>
      <b val="1"/>
      <color rgb="FF002060"/>
      <sz val="6"/>
    </font>
    <font>
      <name val="Times New Roman"/>
      <family val="1"/>
      <b val="1"/>
      <sz val="11"/>
      <scheme val="major"/>
    </font>
    <font>
      <name val="Arial"/>
      <family val="2"/>
      <b val="1"/>
      <sz val="10"/>
    </font>
    <font>
      <name val="Times New Roman"/>
      <family val="1"/>
      <b val="1"/>
      <color theme="1"/>
      <sz val="11"/>
      <scheme val="major"/>
    </font>
    <font>
      <name val="Times New Roman"/>
      <family val="1"/>
      <b val="1"/>
      <color rgb="FFFF0000"/>
      <sz val="11"/>
      <scheme val="major"/>
    </font>
    <font>
      <name val="Times New Roman"/>
      <family val="1"/>
      <color rgb="FF002060"/>
      <sz val="11"/>
      <scheme val="major"/>
    </font>
    <font>
      <name val="Times New Roman"/>
      <family val="1"/>
      <color theme="1"/>
      <sz val="11"/>
      <scheme val="major"/>
    </font>
    <font>
      <name val="Times New Roman"/>
      <family val="1"/>
      <b val="1"/>
      <color rgb="FF002060"/>
      <sz val="11"/>
      <scheme val="major"/>
    </font>
    <font>
      <name val="Times New Roman"/>
      <charset val="163"/>
      <family val="1"/>
      <b val="1"/>
      <sz val="11"/>
    </font>
    <font>
      <name val="Arial"/>
      <charset val="163"/>
      <family val="2"/>
      <b val="1"/>
      <color theme="1"/>
      <sz val="11"/>
      <scheme val="minor"/>
    </font>
    <font>
      <name val="Times New Roman"/>
      <charset val="163"/>
      <family val="1"/>
      <b val="1"/>
      <color theme="1"/>
      <sz val="11"/>
      <scheme val="major"/>
    </font>
    <font>
      <name val="Times New Roman"/>
      <charset val="163"/>
      <family val="1"/>
      <b val="1"/>
      <color rgb="FF002060"/>
      <sz val="11"/>
      <scheme val="major"/>
    </font>
    <font>
      <name val="Arial"/>
      <family val="2"/>
      <color theme="1"/>
      <sz val="11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color theme="1"/>
      <sz val="9"/>
    </font>
    <font>
      <name val="Arial"/>
      <family val="2"/>
      <b val="1"/>
      <sz val="12"/>
      <u val="single"/>
    </font>
    <font>
      <name val="Arial"/>
      <family val="2"/>
      <b val="1"/>
      <sz val="11"/>
    </font>
    <font>
      <name val="Arial"/>
      <family val="2"/>
      <b val="1"/>
      <color theme="1"/>
      <sz val="9"/>
    </font>
    <font>
      <name val="Times New Roman"/>
      <family val="1"/>
      <sz val="11"/>
      <scheme val="major"/>
    </font>
    <font>
      <name val="Times New Roman"/>
      <charset val="163"/>
      <family val="1"/>
      <b val="1"/>
      <sz val="11"/>
      <scheme val="major"/>
    </font>
    <font>
      <name val="Century Gothic"/>
      <family val="2"/>
      <color theme="1"/>
      <sz val="11"/>
    </font>
    <font>
      <name val="Century Gothic"/>
      <family val="2"/>
      <b val="1"/>
      <color theme="1"/>
      <sz val="16"/>
    </font>
    <font>
      <name val="Century Gothic"/>
      <family val="2"/>
      <color theme="1"/>
      <sz val="10"/>
    </font>
    <font>
      <name val="Century Gothic"/>
      <family val="2"/>
      <b val="1"/>
      <color theme="1"/>
      <sz val="11"/>
    </font>
    <font>
      <name val="Times New Roman"/>
      <family val="1"/>
      <color rgb="FFFF0000"/>
      <sz val="14"/>
    </font>
    <font>
      <name val="Times New Roman"/>
      <family val="1"/>
      <color rgb="FFFF0000"/>
      <sz val="12"/>
    </font>
    <font>
      <name val="Times New Roman"/>
      <family val="1"/>
      <color theme="3"/>
      <sz val="10"/>
    </font>
    <font>
      <name val="Times New Roman"/>
      <charset val="163"/>
      <family val="1"/>
      <color rgb="FF002060"/>
      <sz val="10"/>
    </font>
    <font>
      <name val="Times New Roman"/>
      <charset val="163"/>
      <family val="1"/>
      <b val="1"/>
      <color rgb="FF002060"/>
      <sz val="10"/>
    </font>
    <font>
      <name val="Times New Roman"/>
      <family val="2"/>
      <color rgb="FF002060"/>
      <sz val="11"/>
      <scheme val="major"/>
    </font>
    <font>
      <name val="Century Gothic"/>
      <family val="2"/>
      <b val="1"/>
      <color rgb="FF000000"/>
      <sz val="14"/>
    </font>
    <font>
      <name val="Century Gothic"/>
      <family val="2"/>
      <color theme="1"/>
      <sz val="14"/>
    </font>
    <font>
      <name val="Century Gothic"/>
      <family val="2"/>
      <color rgb="FF000000"/>
      <sz val="14"/>
    </font>
    <font>
      <name val="Century Gothic"/>
      <family val="2"/>
      <color rgb="FFFF0000"/>
      <sz val="14"/>
    </font>
    <font>
      <name val="Century Gothic"/>
      <family val="2"/>
      <sz val="14"/>
    </font>
    <font>
      <name val="Century Gothic"/>
      <family val="2"/>
      <b val="1"/>
      <sz val="14"/>
    </font>
  </fonts>
  <fills count="2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E4F3F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D5FF"/>
        <bgColor indexed="64"/>
      </patternFill>
    </fill>
    <fill>
      <patternFill patternType="solid">
        <fgColor rgb="FFFDFFE3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double">
        <color rgb="FF002060"/>
      </bottom>
      <diagonal/>
    </border>
    <border>
      <left/>
      <right/>
      <top style="double">
        <color rgb="FF00206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6">
    <xf numFmtId="0" fontId="1" fillId="0" borderId="0"/>
    <xf numFmtId="172" fontId="1" fillId="0" borderId="0"/>
    <xf numFmtId="0" fontId="2" fillId="0" borderId="0"/>
    <xf numFmtId="0" fontId="4" fillId="0" borderId="0"/>
    <xf numFmtId="43" fontId="2" fillId="0" borderId="0"/>
    <xf numFmtId="43" fontId="4" fillId="0" borderId="0"/>
    <xf numFmtId="0" fontId="14" fillId="0" borderId="0"/>
    <xf numFmtId="0" fontId="14" fillId="0" borderId="0"/>
    <xf numFmtId="0" fontId="2" fillId="0" borderId="0"/>
    <xf numFmtId="0" fontId="19" fillId="0" borderId="0"/>
    <xf numFmtId="0" fontId="2" fillId="0" borderId="0"/>
    <xf numFmtId="0" fontId="2" fillId="0" borderId="0"/>
    <xf numFmtId="168" fontId="1" fillId="0" borderId="0"/>
    <xf numFmtId="172" fontId="1" fillId="0" borderId="0"/>
    <xf numFmtId="168" fontId="1" fillId="0" borderId="0"/>
    <xf numFmtId="172" fontId="1" fillId="0" borderId="0"/>
    <xf numFmtId="0" fontId="37" fillId="0" borderId="0"/>
    <xf numFmtId="9" fontId="1" fillId="0" borderId="0"/>
    <xf numFmtId="0" fontId="50" fillId="0" borderId="0"/>
    <xf numFmtId="0" fontId="37" fillId="0" borderId="0"/>
    <xf numFmtId="43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43" fontId="37" fillId="0" borderId="0"/>
    <xf numFmtId="174" fontId="1" fillId="0" borderId="0"/>
    <xf numFmtId="0" fontId="37" fillId="0" borderId="0"/>
    <xf numFmtId="0" fontId="2" fillId="0" borderId="0" applyAlignment="1">
      <alignment horizontal="justify" vertical="top" wrapText="1"/>
    </xf>
    <xf numFmtId="0" fontId="2" fillId="0" borderId="0"/>
    <xf numFmtId="0" fontId="71" fillId="0" borderId="0"/>
    <xf numFmtId="0" fontId="2" fillId="0" borderId="0" applyAlignment="1">
      <alignment horizontal="justify" vertical="top" wrapText="1"/>
    </xf>
    <xf numFmtId="43" fontId="37" fillId="0" borderId="0"/>
    <xf numFmtId="0" fontId="2" fillId="0" borderId="0"/>
    <xf numFmtId="0" fontId="2" fillId="0" borderId="0"/>
    <xf numFmtId="174" fontId="1" fillId="0" borderId="0"/>
  </cellStyleXfs>
  <cellXfs count="910">
    <xf numFmtId="0" fontId="0" fillId="0" borderId="0" pivotButton="0" quotePrefix="0" xfId="0"/>
    <xf numFmtId="0" fontId="3" fillId="0" borderId="0" applyAlignment="1" pivotButton="0" quotePrefix="0" xfId="2">
      <alignment horizontal="left"/>
    </xf>
    <xf numFmtId="0" fontId="5" fillId="0" borderId="0" applyAlignment="1" pivotButton="0" quotePrefix="0" xfId="3">
      <alignment wrapText="1"/>
    </xf>
    <xf numFmtId="0" fontId="5" fillId="0" borderId="0" pivotButton="0" quotePrefix="0" xfId="3"/>
    <xf numFmtId="164" fontId="5" fillId="0" borderId="0" pivotButton="0" quotePrefix="0" xfId="3"/>
    <xf numFmtId="165" fontId="5" fillId="0" borderId="0" pivotButton="0" quotePrefix="0" xfId="3"/>
    <xf numFmtId="166" fontId="5" fillId="0" borderId="0" pivotButton="0" quotePrefix="0" xfId="3"/>
    <xf numFmtId="0" fontId="6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7" fillId="0" borderId="1" applyAlignment="1" pivotButton="0" quotePrefix="0" xfId="2">
      <alignment horizontal="left"/>
    </xf>
    <xf numFmtId="0" fontId="5" fillId="0" borderId="1" applyAlignment="1" pivotButton="0" quotePrefix="0" xfId="3">
      <alignment wrapText="1"/>
    </xf>
    <xf numFmtId="0" fontId="5" fillId="0" borderId="1" pivotButton="0" quotePrefix="0" xfId="3"/>
    <xf numFmtId="164" fontId="5" fillId="0" borderId="1" pivotButton="0" quotePrefix="0" xfId="3"/>
    <xf numFmtId="165" fontId="5" fillId="0" borderId="1" pivotButton="0" quotePrefix="0" xfId="3"/>
    <xf numFmtId="166" fontId="5" fillId="0" borderId="1" pivotButton="0" quotePrefix="0" xfId="3"/>
    <xf numFmtId="0" fontId="9" fillId="0" borderId="0" applyAlignment="1" pivotButton="0" quotePrefix="0" xfId="3">
      <alignment horizontal="left"/>
    </xf>
    <xf numFmtId="0" fontId="9" fillId="0" borderId="0" applyAlignment="1" pivotButton="0" quotePrefix="0" xfId="3">
      <alignment horizontal="center" wrapText="1"/>
    </xf>
    <xf numFmtId="0" fontId="9" fillId="0" borderId="0" applyAlignment="1" pivotButton="0" quotePrefix="0" xfId="3">
      <alignment horizontal="center"/>
    </xf>
    <xf numFmtId="166" fontId="5" fillId="0" borderId="0" applyAlignment="1" pivotButton="0" quotePrefix="0" xfId="3">
      <alignment horizontal="center"/>
    </xf>
    <xf numFmtId="165" fontId="11" fillId="0" borderId="0" applyAlignment="1" applyProtection="1" pivotButton="0" quotePrefix="0" xfId="4">
      <alignment vertical="center"/>
      <protection locked="0" hidden="0"/>
    </xf>
    <xf numFmtId="166" fontId="11" fillId="0" borderId="0" applyAlignment="1" applyProtection="1" pivotButton="0" quotePrefix="0" xfId="4">
      <alignment vertical="center"/>
      <protection locked="0" hidden="0"/>
    </xf>
    <xf numFmtId="0" fontId="10" fillId="0" borderId="0" applyAlignment="1" pivotButton="0" quotePrefix="0" xfId="3">
      <alignment horizontal="center"/>
    </xf>
    <xf numFmtId="43" fontId="5" fillId="0" borderId="0" pivotButton="0" quotePrefix="0" xfId="5"/>
    <xf numFmtId="167" fontId="11" fillId="0" borderId="13" applyAlignment="1" pivotButton="0" quotePrefix="0" xfId="35">
      <alignment vertical="center"/>
    </xf>
    <xf numFmtId="166" fontId="15" fillId="0" borderId="0" applyAlignment="1" pivotButton="0" quotePrefix="0" xfId="6">
      <alignment horizontal="right" vertical="center"/>
    </xf>
    <xf numFmtId="166" fontId="15" fillId="0" borderId="0" applyAlignment="1" pivotButton="0" quotePrefix="0" xfId="6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8" fontId="5" fillId="0" borderId="0" pivotButton="0" quotePrefix="0" xfId="35"/>
    <xf numFmtId="169" fontId="5" fillId="0" borderId="0" pivotButton="0" quotePrefix="0" xfId="35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8" fontId="5" fillId="0" borderId="1" pivotButton="0" quotePrefix="0" xfId="35"/>
    <xf numFmtId="169" fontId="5" fillId="0" borderId="1" pivotButton="0" quotePrefix="0" xfId="35"/>
    <xf numFmtId="0" fontId="1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168" fontId="13" fillId="0" borderId="0" pivotButton="0" quotePrefix="0" xfId="35"/>
    <xf numFmtId="169" fontId="13" fillId="0" borderId="0" applyAlignment="1" pivotButton="0" quotePrefix="0" xfId="35">
      <alignment horizontal="right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168" fontId="11" fillId="0" borderId="0" pivotButton="0" quotePrefix="0" xfId="35"/>
    <xf numFmtId="169" fontId="11" fillId="0" borderId="0" pivotButton="0" quotePrefix="0" xfId="35"/>
    <xf numFmtId="0" fontId="20" fillId="0" borderId="0" applyAlignment="1" pivotButton="0" quotePrefix="0" xfId="2">
      <alignment horizontal="left"/>
    </xf>
    <xf numFmtId="0" fontId="21" fillId="0" borderId="0" pivotButton="0" quotePrefix="0" xfId="8"/>
    <xf numFmtId="0" fontId="22" fillId="0" borderId="0" applyAlignment="1" pivotButton="0" quotePrefix="0" xfId="9">
      <alignment horizontal="center" vertical="center"/>
    </xf>
    <xf numFmtId="0" fontId="23" fillId="0" borderId="0" applyAlignment="1" pivotButton="0" quotePrefix="0" xfId="9">
      <alignment horizontal="center" vertical="center"/>
    </xf>
    <xf numFmtId="3" fontId="23" fillId="0" borderId="0" applyAlignment="1" pivotButton="0" quotePrefix="0" xfId="9">
      <alignment horizontal="right" vertical="center"/>
    </xf>
    <xf numFmtId="0" fontId="24" fillId="0" borderId="0" pivotButton="0" quotePrefix="0" xfId="0"/>
    <xf numFmtId="0" fontId="25" fillId="0" borderId="0" applyAlignment="1" pivotButton="0" quotePrefix="0" xfId="2">
      <alignment horizontal="left"/>
    </xf>
    <xf numFmtId="0" fontId="26" fillId="0" borderId="0" applyAlignment="1" pivotButton="0" quotePrefix="0" xfId="9">
      <alignment horizontal="center" vertical="center"/>
    </xf>
    <xf numFmtId="3" fontId="26" fillId="0" borderId="0" applyAlignment="1" pivotButton="0" quotePrefix="0" xfId="9">
      <alignment horizontal="right" vertical="center"/>
    </xf>
    <xf numFmtId="3" fontId="22" fillId="0" borderId="0" applyAlignment="1" pivotButton="0" quotePrefix="0" xfId="9">
      <alignment horizontal="right" vertical="center" indent="12"/>
    </xf>
    <xf numFmtId="0" fontId="27" fillId="0" borderId="0" applyAlignment="1" pivotButton="0" quotePrefix="0" xfId="2">
      <alignment horizontal="left"/>
    </xf>
    <xf numFmtId="0" fontId="27" fillId="0" borderId="1" applyAlignment="1" pivotButton="0" quotePrefix="0" xfId="2">
      <alignment horizontal="left"/>
    </xf>
    <xf numFmtId="0" fontId="26" fillId="0" borderId="15" applyAlignment="1" pivotButton="0" quotePrefix="0" xfId="9">
      <alignment horizontal="center" vertical="center"/>
    </xf>
    <xf numFmtId="3" fontId="26" fillId="0" borderId="15" applyAlignment="1" pivotButton="0" quotePrefix="0" xfId="9">
      <alignment horizontal="right" vertical="center"/>
    </xf>
    <xf numFmtId="3" fontId="22" fillId="0" borderId="15" applyAlignment="1" pivotButton="0" quotePrefix="0" xfId="9">
      <alignment horizontal="right" vertical="center" indent="12"/>
    </xf>
    <xf numFmtId="170" fontId="21" fillId="0" borderId="0" applyAlignment="1" pivotButton="0" quotePrefix="0" xfId="8">
      <alignment vertical="center"/>
    </xf>
    <xf numFmtId="40" fontId="21" fillId="0" borderId="0" applyAlignment="1" pivotButton="0" quotePrefix="0" xfId="8">
      <alignment vertical="center"/>
    </xf>
    <xf numFmtId="40" fontId="21" fillId="0" borderId="0" applyAlignment="1" pivotButton="0" quotePrefix="0" xfId="8">
      <alignment horizontal="center" vertical="center"/>
    </xf>
    <xf numFmtId="3" fontId="21" fillId="0" borderId="0" applyAlignment="1" pivotButton="0" quotePrefix="0" xfId="8">
      <alignment horizontal="center" vertical="center"/>
    </xf>
    <xf numFmtId="3" fontId="21" fillId="0" borderId="0" applyAlignment="1" pivotButton="0" quotePrefix="0" xfId="8">
      <alignment horizontal="right" vertical="center"/>
    </xf>
    <xf numFmtId="0" fontId="21" fillId="0" borderId="0" applyAlignment="1" pivotButton="0" quotePrefix="0" xfId="8">
      <alignment vertical="center"/>
    </xf>
    <xf numFmtId="0" fontId="29" fillId="0" borderId="0" pivotButton="0" quotePrefix="0" xfId="0"/>
    <xf numFmtId="43" fontId="30" fillId="0" borderId="4" applyAlignment="1" applyProtection="1" pivotButton="0" quotePrefix="0" xfId="4">
      <alignment horizontal="center" vertical="center"/>
      <protection locked="0" hidden="0"/>
    </xf>
    <xf numFmtId="0" fontId="30" fillId="0" borderId="3" applyAlignment="1" pivotButton="0" quotePrefix="0" xfId="3">
      <alignment horizontal="center"/>
    </xf>
    <xf numFmtId="166" fontId="30" fillId="0" borderId="4" applyAlignment="1" applyProtection="1" pivotButton="0" quotePrefix="0" xfId="4">
      <alignment horizontal="center" vertical="center"/>
      <protection locked="0" hidden="0"/>
    </xf>
    <xf numFmtId="166" fontId="30" fillId="0" borderId="4" applyAlignment="1" pivotButton="0" quotePrefix="0" xfId="3">
      <alignment horizontal="center"/>
    </xf>
    <xf numFmtId="166" fontId="30" fillId="0" borderId="5" applyAlignment="1" pivotButton="0" quotePrefix="0" xfId="3">
      <alignment horizontal="center"/>
    </xf>
    <xf numFmtId="0" fontId="31" fillId="0" borderId="6" applyAlignment="1" pivotButton="0" quotePrefix="0" xfId="3">
      <alignment horizontal="center"/>
    </xf>
    <xf numFmtId="0" fontId="32" fillId="0" borderId="0" applyAlignment="1" pivotButton="0" quotePrefix="0" xfId="0">
      <alignment horizontal="left"/>
    </xf>
    <xf numFmtId="0" fontId="9" fillId="0" borderId="0" applyAlignment="1" pivotButton="0" quotePrefix="0" xfId="8">
      <alignment horizontal="center" vertical="center"/>
    </xf>
    <xf numFmtId="167" fontId="13" fillId="4" borderId="13" applyAlignment="1" pivotButton="0" quotePrefix="0" xfId="35">
      <alignment vertical="center"/>
    </xf>
    <xf numFmtId="168" fontId="31" fillId="0" borderId="6" applyAlignment="1" pivotButton="0" quotePrefix="0" xfId="35">
      <alignment horizontal="center"/>
    </xf>
    <xf numFmtId="0" fontId="18" fillId="0" borderId="0" applyAlignment="1" pivotButton="0" quotePrefix="0" xfId="0">
      <alignment horizontal="left"/>
    </xf>
    <xf numFmtId="0" fontId="6" fillId="0" borderId="0" applyAlignment="1" pivotButton="0" quotePrefix="0" xfId="3">
      <alignment horizontal="left"/>
    </xf>
    <xf numFmtId="0" fontId="11" fillId="0" borderId="11" applyAlignment="1" pivotButton="0" quotePrefix="0" xfId="3">
      <alignment horizontal="left" vertical="center" wrapText="1"/>
    </xf>
    <xf numFmtId="0" fontId="11" fillId="0" borderId="11" applyAlignment="1" pivotButton="0" quotePrefix="0" xfId="3">
      <alignment horizontal="center" vertical="center"/>
    </xf>
    <xf numFmtId="167" fontId="11" fillId="0" borderId="11" applyAlignment="1" pivotButton="0" quotePrefix="0" xfId="35">
      <alignment vertical="center"/>
    </xf>
    <xf numFmtId="167" fontId="13" fillId="0" borderId="14" applyAlignment="1" pivotButton="0" quotePrefix="0" xfId="35">
      <alignment vertical="center"/>
    </xf>
    <xf numFmtId="167" fontId="13" fillId="0" borderId="14" applyAlignment="1" pivotButton="0" quotePrefix="0" xfId="35">
      <alignment horizontal="right" vertical="center"/>
    </xf>
    <xf numFmtId="167" fontId="11" fillId="0" borderId="16" applyAlignment="1" pivotButton="0" quotePrefix="0" xfId="35">
      <alignment vertical="center"/>
    </xf>
    <xf numFmtId="0" fontId="9" fillId="0" borderId="0" applyAlignment="1" applyProtection="1" pivotButton="0" quotePrefix="0" xfId="3">
      <alignment horizontal="center" wrapText="1"/>
      <protection locked="1" hidden="1"/>
    </xf>
    <xf numFmtId="0" fontId="9" fillId="0" borderId="0" applyAlignment="1" applyProtection="1" pivotButton="0" quotePrefix="0" xfId="3">
      <alignment horizontal="center"/>
      <protection locked="1" hidden="1"/>
    </xf>
    <xf numFmtId="2" fontId="10" fillId="0" borderId="0" applyAlignment="1" applyProtection="1" pivotButton="0" quotePrefix="0" xfId="3">
      <alignment horizontal="center"/>
      <protection locked="1" hidden="1"/>
    </xf>
    <xf numFmtId="0" fontId="12" fillId="5" borderId="7" applyAlignment="1" applyProtection="1" pivotButton="0" quotePrefix="0" xfId="3">
      <alignment horizontal="center" vertical="center" wrapText="1"/>
      <protection locked="1" hidden="1"/>
    </xf>
    <xf numFmtId="0" fontId="12" fillId="5" borderId="4" applyAlignment="1" applyProtection="1" pivotButton="0" quotePrefix="0" xfId="3">
      <alignment horizontal="center" vertical="center" wrapText="1"/>
      <protection locked="1" hidden="1"/>
    </xf>
    <xf numFmtId="167" fontId="34" fillId="0" borderId="13" applyAlignment="1" pivotButton="0" quotePrefix="0" xfId="35">
      <alignment vertical="center"/>
    </xf>
    <xf numFmtId="167" fontId="34" fillId="0" borderId="16" applyAlignment="1" pivotButton="0" quotePrefix="0" xfId="35">
      <alignment vertical="center"/>
    </xf>
    <xf numFmtId="0" fontId="8" fillId="0" borderId="0" applyAlignment="1" pivotButton="0" quotePrefix="0" xfId="3">
      <alignment horizontal="center"/>
    </xf>
    <xf numFmtId="165" fontId="35" fillId="0" borderId="0" applyAlignment="1" applyProtection="1" pivotButton="0" quotePrefix="0" xfId="0">
      <alignment vertical="center"/>
      <protection locked="0" hidden="0"/>
    </xf>
    <xf numFmtId="166" fontId="35" fillId="0" borderId="0" applyAlignment="1" applyProtection="1" pivotButton="0" quotePrefix="0" xfId="0">
      <alignment vertical="center"/>
      <protection locked="0" hidden="0"/>
    </xf>
    <xf numFmtId="167" fontId="11" fillId="0" borderId="11" applyAlignment="1" pivotButton="0" quotePrefix="0" xfId="3">
      <alignment horizontal="left" vertical="center" wrapText="1"/>
    </xf>
    <xf numFmtId="167" fontId="11" fillId="0" borderId="11" applyAlignment="1" pivotButton="0" quotePrefix="0" xfId="3">
      <alignment horizontal="center" vertical="center"/>
    </xf>
    <xf numFmtId="167" fontId="13" fillId="4" borderId="13" applyAlignment="1" pivotButton="0" quotePrefix="0" xfId="3">
      <alignment horizontal="left" vertical="center" wrapText="1"/>
    </xf>
    <xf numFmtId="167" fontId="13" fillId="4" borderId="13" applyAlignment="1" pivotButton="0" quotePrefix="0" xfId="3">
      <alignment horizontal="center" vertical="center"/>
    </xf>
    <xf numFmtId="167" fontId="13" fillId="4" borderId="13" applyAlignment="1" pivotButton="0" quotePrefix="0" xfId="3">
      <alignment horizontal="left" vertical="center"/>
    </xf>
    <xf numFmtId="167" fontId="11" fillId="0" borderId="13" applyAlignment="1" pivotButton="0" quotePrefix="0" xfId="3">
      <alignment horizontal="left" vertical="center" wrapText="1"/>
    </xf>
    <xf numFmtId="167" fontId="11" fillId="0" borderId="13" applyAlignment="1" pivotButton="0" quotePrefix="0" xfId="3">
      <alignment horizontal="center"/>
    </xf>
    <xf numFmtId="167" fontId="11" fillId="0" borderId="13" applyAlignment="1" pivotButton="0" quotePrefix="0" xfId="3">
      <alignment wrapText="1"/>
    </xf>
    <xf numFmtId="167" fontId="11" fillId="0" borderId="16" applyAlignment="1" pivotButton="0" quotePrefix="0" xfId="3">
      <alignment horizontal="left" vertical="center" wrapText="1"/>
    </xf>
    <xf numFmtId="167" fontId="5" fillId="0" borderId="14" applyAlignment="1" pivotButton="0" quotePrefix="0" xfId="3">
      <alignment wrapText="1"/>
    </xf>
    <xf numFmtId="167" fontId="5" fillId="0" borderId="14" pivotButton="0" quotePrefix="0" xfId="3"/>
    <xf numFmtId="167" fontId="5" fillId="0" borderId="14" pivotButton="0" quotePrefix="0" xfId="5"/>
    <xf numFmtId="171" fontId="11" fillId="0" borderId="13" applyAlignment="1" pivotButton="0" quotePrefix="0" xfId="3">
      <alignment horizontal="center"/>
    </xf>
    <xf numFmtId="167" fontId="36" fillId="0" borderId="13" applyAlignment="1" pivotButton="0" quotePrefix="0" xfId="0">
      <alignment horizontal="right"/>
    </xf>
    <xf numFmtId="167" fontId="33" fillId="0" borderId="11" applyAlignment="1" pivotButton="0" quotePrefix="0" xfId="35">
      <alignment vertical="center"/>
    </xf>
    <xf numFmtId="0" fontId="11" fillId="0" borderId="11" applyAlignment="1" pivotButton="0" quotePrefix="0" xfId="3">
      <alignment horizontal="center"/>
    </xf>
    <xf numFmtId="167" fontId="11" fillId="0" borderId="11" applyAlignment="1" pivotButton="0" quotePrefix="0" xfId="35">
      <alignment horizontal="left" vertical="center"/>
    </xf>
    <xf numFmtId="167" fontId="11" fillId="0" borderId="13" applyAlignment="1" pivotButton="0" quotePrefix="0" xfId="35">
      <alignment horizontal="left" vertical="center"/>
    </xf>
    <xf numFmtId="167" fontId="13" fillId="4" borderId="13" applyAlignment="1" pivotButton="0" quotePrefix="0" xfId="35">
      <alignment horizontal="left" vertical="center"/>
    </xf>
    <xf numFmtId="167" fontId="18" fillId="4" borderId="13" applyAlignment="1" pivotButton="0" quotePrefix="0" xfId="35">
      <alignment horizontal="left" vertical="center"/>
    </xf>
    <xf numFmtId="167" fontId="13" fillId="0" borderId="13" applyAlignment="1" pivotButton="0" quotePrefix="0" xfId="35">
      <alignment horizontal="left" vertical="center"/>
    </xf>
    <xf numFmtId="167" fontId="11" fillId="0" borderId="14" applyAlignment="1" pivotButton="0" quotePrefix="0" xfId="35">
      <alignment horizontal="left" vertical="center"/>
    </xf>
    <xf numFmtId="167" fontId="11" fillId="0" borderId="11" applyAlignment="1" pivotButton="0" quotePrefix="0" xfId="0">
      <alignment horizontal="center" vertical="center" wrapText="1"/>
    </xf>
    <xf numFmtId="167" fontId="11" fillId="0" borderId="11" applyAlignment="1" pivotButton="0" quotePrefix="0" xfId="0">
      <alignment horizontal="left" vertical="center" wrapText="1"/>
    </xf>
    <xf numFmtId="167" fontId="11" fillId="0" borderId="11" applyAlignment="1" pivotButton="0" quotePrefix="0" xfId="0">
      <alignment horizontal="center" vertical="center"/>
    </xf>
    <xf numFmtId="167" fontId="11" fillId="0" borderId="11" applyAlignment="1" pivotButton="0" quotePrefix="0" xfId="35">
      <alignment horizontal="center" vertical="center"/>
    </xf>
    <xf numFmtId="167" fontId="13" fillId="5" borderId="13" applyAlignment="1" pivotButton="0" quotePrefix="0" xfId="0">
      <alignment horizontal="center" vertical="center" wrapText="1"/>
    </xf>
    <xf numFmtId="167" fontId="13" fillId="5" borderId="13" applyAlignment="1" pivotButton="0" quotePrefix="0" xfId="0">
      <alignment horizontal="left" vertical="center" wrapText="1"/>
    </xf>
    <xf numFmtId="167" fontId="13" fillId="5" borderId="13" applyAlignment="1" pivotButton="0" quotePrefix="0" xfId="0">
      <alignment horizontal="center" vertical="center"/>
    </xf>
    <xf numFmtId="167" fontId="13" fillId="0" borderId="13" applyAlignment="1" pivotButton="0" quotePrefix="0" xfId="0">
      <alignment horizontal="center" vertical="center"/>
    </xf>
    <xf numFmtId="167" fontId="13" fillId="0" borderId="13" applyAlignment="1" pivotButton="0" quotePrefix="0" xfId="35">
      <alignment horizontal="center" vertical="center"/>
    </xf>
    <xf numFmtId="167" fontId="11" fillId="0" borderId="13" applyAlignment="1" pivotButton="0" quotePrefix="0" xfId="0">
      <alignment horizontal="center" vertical="center" wrapText="1"/>
    </xf>
    <xf numFmtId="167" fontId="11" fillId="0" borderId="13" applyAlignment="1" pivotButton="0" quotePrefix="0" xfId="0">
      <alignment horizontal="left" vertical="center" wrapText="1"/>
    </xf>
    <xf numFmtId="167" fontId="11" fillId="0" borderId="13" applyAlignment="1" pivotButton="0" quotePrefix="0" xfId="0">
      <alignment horizontal="center" vertical="center"/>
    </xf>
    <xf numFmtId="167" fontId="11" fillId="0" borderId="16" applyAlignment="1" pivotButton="0" quotePrefix="0" xfId="35">
      <alignment vertical="center" wrapText="1"/>
    </xf>
    <xf numFmtId="167" fontId="11" fillId="0" borderId="12" applyAlignment="1" pivotButton="0" quotePrefix="0" xfId="0">
      <alignment horizontal="center" vertical="center" wrapText="1"/>
    </xf>
    <xf numFmtId="167" fontId="11" fillId="0" borderId="12" applyAlignment="1" pivotButton="0" quotePrefix="0" xfId="0">
      <alignment horizontal="left" vertical="center" wrapText="1"/>
    </xf>
    <xf numFmtId="167" fontId="11" fillId="0" borderId="13" applyAlignment="1" pivotButton="0" quotePrefix="0" xfId="35">
      <alignment horizontal="left" vertical="center" wrapText="1"/>
    </xf>
    <xf numFmtId="167" fontId="13" fillId="0" borderId="13" applyAlignment="1" pivotButton="0" quotePrefix="0" xfId="35">
      <alignment horizontal="left" vertical="center" wrapText="1"/>
    </xf>
    <xf numFmtId="167" fontId="13" fillId="0" borderId="13" applyAlignment="1" pivotButton="0" quotePrefix="0" xfId="0">
      <alignment horizontal="left" vertical="center"/>
    </xf>
    <xf numFmtId="167" fontId="13" fillId="4" borderId="13" applyAlignment="1" pivotButton="0" quotePrefix="0" xfId="0">
      <alignment horizontal="center" vertical="center"/>
    </xf>
    <xf numFmtId="167" fontId="13" fillId="4" borderId="13" applyAlignment="1" pivotButton="0" quotePrefix="0" xfId="0">
      <alignment horizontal="left" vertical="center"/>
    </xf>
    <xf numFmtId="167" fontId="13" fillId="4" borderId="13" applyAlignment="1" pivotButton="0" quotePrefix="0" xfId="35">
      <alignment horizontal="center" vertical="center"/>
    </xf>
    <xf numFmtId="167" fontId="11" fillId="0" borderId="14" applyAlignment="1" pivotButton="0" quotePrefix="0" xfId="0">
      <alignment horizontal="center" vertical="center"/>
    </xf>
    <xf numFmtId="167" fontId="11" fillId="0" borderId="14" applyAlignment="1" pivotButton="0" quotePrefix="0" xfId="0">
      <alignment horizontal="left" vertical="center"/>
    </xf>
    <xf numFmtId="167" fontId="11" fillId="0" borderId="14" applyAlignment="1" pivotButton="0" quotePrefix="0" xfId="35">
      <alignment horizontal="center" vertical="center"/>
    </xf>
    <xf numFmtId="167" fontId="11" fillId="0" borderId="12" applyAlignment="1" pivotButton="0" quotePrefix="0" xfId="35">
      <alignment vertical="center"/>
    </xf>
    <xf numFmtId="167" fontId="11" fillId="0" borderId="14" applyAlignment="1" pivotButton="0" quotePrefix="0" xfId="35">
      <alignment vertical="center"/>
    </xf>
    <xf numFmtId="167" fontId="13" fillId="6" borderId="14" applyAlignment="1" pivotButton="0" quotePrefix="0" xfId="35">
      <alignment vertical="center"/>
    </xf>
    <xf numFmtId="167" fontId="13" fillId="5" borderId="13" applyAlignment="1" pivotButton="0" quotePrefix="0" xfId="35">
      <alignment horizontal="left" vertical="center" wrapText="1"/>
    </xf>
    <xf numFmtId="167" fontId="13" fillId="4" borderId="13" applyAlignment="1" pivotButton="0" quotePrefix="0" xfId="35">
      <alignment horizontal="left" vertical="center" wrapText="1"/>
    </xf>
    <xf numFmtId="167" fontId="38" fillId="0" borderId="13" applyAlignment="1" pivotButton="0" quotePrefix="0" xfId="35">
      <alignment vertical="center"/>
    </xf>
    <xf numFmtId="167" fontId="11" fillId="0" borderId="13" applyAlignment="1" pivotButton="0" quotePrefix="0" xfId="35">
      <alignment horizontal="center" vertical="center" wrapText="1"/>
    </xf>
    <xf numFmtId="167" fontId="13" fillId="5" borderId="13" applyAlignment="1" pivotButton="0" quotePrefix="0" xfId="35">
      <alignment horizontal="center" vertical="center" wrapText="1"/>
    </xf>
    <xf numFmtId="10" fontId="11" fillId="0" borderId="13" applyAlignment="1" pivotButton="0" quotePrefix="0" xfId="17">
      <alignment horizontal="center" vertical="center"/>
    </xf>
    <xf numFmtId="0" fontId="12" fillId="7" borderId="18" applyAlignment="1" pivotButton="0" quotePrefix="0" xfId="0">
      <alignment horizontal="center" vertical="center"/>
    </xf>
    <xf numFmtId="0" fontId="12" fillId="7" borderId="18" applyAlignment="1" pivotButton="0" quotePrefix="0" xfId="0">
      <alignment horizontal="center" vertical="center" wrapText="1"/>
    </xf>
    <xf numFmtId="168" fontId="12" fillId="7" borderId="18" applyAlignment="1" pivotButton="0" quotePrefix="0" xfId="35">
      <alignment horizontal="center" vertical="center" wrapText="1"/>
    </xf>
    <xf numFmtId="169" fontId="12" fillId="7" borderId="18" applyAlignment="1" pivotButton="0" quotePrefix="0" xfId="35">
      <alignment horizontal="center" vertical="center" wrapText="1"/>
    </xf>
    <xf numFmtId="167" fontId="36" fillId="0" borderId="0" applyAlignment="1" pivotButton="0" quotePrefix="0" xfId="0">
      <alignment horizontal="right"/>
    </xf>
    <xf numFmtId="171" fontId="11" fillId="0" borderId="0" pivotButton="0" quotePrefix="0" xfId="0"/>
    <xf numFmtId="167" fontId="36" fillId="0" borderId="0" applyAlignment="1" pivotButton="0" quotePrefix="0" xfId="0">
      <alignment horizontal="left"/>
    </xf>
    <xf numFmtId="172" fontId="11" fillId="0" borderId="0" pivotButton="0" quotePrefix="0" xfId="1"/>
    <xf numFmtId="171" fontId="18" fillId="0" borderId="0" pivotButton="0" quotePrefix="0" xfId="0"/>
    <xf numFmtId="171" fontId="18" fillId="2" borderId="0" pivotButton="0" quotePrefix="0" xfId="0"/>
    <xf numFmtId="169" fontId="5" fillId="2" borderId="0" pivotButton="0" quotePrefix="0" xfId="35"/>
    <xf numFmtId="171" fontId="11" fillId="0" borderId="13" pivotButton="0" quotePrefix="0" xfId="0"/>
    <xf numFmtId="43" fontId="31" fillId="0" borderId="7" applyAlignment="1" applyProtection="1" pivotButton="0" quotePrefix="0" xfId="4">
      <alignment horizontal="center" vertical="center"/>
      <protection locked="0" hidden="0"/>
    </xf>
    <xf numFmtId="0" fontId="9" fillId="2" borderId="0" applyAlignment="1" applyProtection="1" pivotButton="0" quotePrefix="0" xfId="3">
      <alignment horizontal="center" wrapText="1"/>
      <protection locked="1" hidden="1"/>
    </xf>
    <xf numFmtId="167" fontId="18" fillId="0" borderId="13" applyAlignment="1" pivotButton="0" quotePrefix="0" xfId="0">
      <alignment horizontal="right"/>
    </xf>
    <xf numFmtId="167" fontId="11" fillId="0" borderId="13" applyAlignment="1" pivotButton="0" quotePrefix="0" xfId="35">
      <alignment horizontal="center" vertical="center"/>
    </xf>
    <xf numFmtId="167" fontId="34" fillId="0" borderId="16" applyAlignment="1" pivotButton="0" quotePrefix="0" xfId="35">
      <alignment horizontal="center" vertical="center"/>
    </xf>
    <xf numFmtId="167" fontId="34" fillId="0" borderId="13" applyAlignment="1" pivotButton="0" quotePrefix="0" xfId="35">
      <alignment horizontal="center" vertical="center"/>
    </xf>
    <xf numFmtId="167" fontId="11" fillId="0" borderId="16" applyAlignment="1" pivotButton="0" quotePrefix="0" xfId="35">
      <alignment horizontal="center" vertical="center"/>
    </xf>
    <xf numFmtId="167" fontId="11" fillId="0" borderId="16" applyAlignment="1" pivotButton="0" quotePrefix="0" xfId="35">
      <alignment horizontal="center"/>
    </xf>
    <xf numFmtId="167" fontId="11" fillId="0" borderId="13" applyAlignment="1" pivotButton="0" quotePrefix="0" xfId="35">
      <alignment horizontal="center"/>
    </xf>
    <xf numFmtId="167" fontId="39" fillId="0" borderId="12" applyAlignment="1" pivotButton="0" quotePrefix="0" xfId="0">
      <alignment horizontal="left" vertical="center" wrapText="1"/>
    </xf>
    <xf numFmtId="167" fontId="11" fillId="0" borderId="13" applyAlignment="1" pivotButton="0" quotePrefix="0" xfId="3">
      <alignment horizontal="center" vertical="center"/>
    </xf>
    <xf numFmtId="167" fontId="33" fillId="0" borderId="13" applyAlignment="1" pivotButton="0" quotePrefix="0" xfId="3">
      <alignment wrapText="1"/>
    </xf>
    <xf numFmtId="167" fontId="34" fillId="0" borderId="13" applyAlignment="1" pivotButton="0" quotePrefix="0" xfId="3">
      <alignment horizontal="left" vertical="center" wrapText="1"/>
    </xf>
    <xf numFmtId="167" fontId="33" fillId="0" borderId="12" applyAlignment="1" pivotButton="0" quotePrefix="0" xfId="3">
      <alignment wrapText="1"/>
    </xf>
    <xf numFmtId="167" fontId="34" fillId="0" borderId="13" applyAlignment="1" pivotButton="0" quotePrefix="0" xfId="3">
      <alignment wrapText="1"/>
    </xf>
    <xf numFmtId="167" fontId="33" fillId="0" borderId="13" applyAlignment="1" pivotButton="0" quotePrefix="0" xfId="3">
      <alignment horizontal="left" vertical="center" wrapText="1"/>
    </xf>
    <xf numFmtId="167" fontId="33" fillId="0" borderId="13" pivotButton="0" quotePrefix="0" xfId="3"/>
    <xf numFmtId="167" fontId="11" fillId="0" borderId="13" applyAlignment="1" pivotButton="0" quotePrefix="0" xfId="3">
      <alignment vertical="center"/>
    </xf>
    <xf numFmtId="167" fontId="11" fillId="0" borderId="12" applyAlignment="1" pivotButton="0" quotePrefix="0" xfId="3">
      <alignment vertical="center"/>
    </xf>
    <xf numFmtId="167" fontId="34" fillId="0" borderId="13" applyAlignment="1" pivotButton="0" quotePrefix="0" xfId="3">
      <alignment horizontal="left"/>
    </xf>
    <xf numFmtId="167" fontId="33" fillId="0" borderId="16" applyAlignment="1" pivotButton="0" quotePrefix="0" xfId="3">
      <alignment horizontal="left" vertical="center" wrapText="1"/>
    </xf>
    <xf numFmtId="167" fontId="13" fillId="0" borderId="14" applyAlignment="1" pivotButton="0" quotePrefix="0" xfId="3">
      <alignment horizontal="center" vertical="center"/>
    </xf>
    <xf numFmtId="167" fontId="13" fillId="0" borderId="14" applyAlignment="1" pivotButton="0" quotePrefix="0" xfId="3">
      <alignment horizontal="left" vertical="center" wrapText="1"/>
    </xf>
    <xf numFmtId="167" fontId="13" fillId="0" borderId="14" applyAlignment="1" pivotButton="0" quotePrefix="0" xfId="3">
      <alignment vertical="center"/>
    </xf>
    <xf numFmtId="167" fontId="13" fillId="0" borderId="14" applyAlignment="1" pivotButton="0" quotePrefix="0" xfId="35">
      <alignment horizontal="center" vertical="center" wrapText="1"/>
    </xf>
    <xf numFmtId="167" fontId="11" fillId="0" borderId="11" applyAlignment="1" pivotButton="0" quotePrefix="0" xfId="3">
      <alignment vertical="center"/>
    </xf>
    <xf numFmtId="167" fontId="13" fillId="4" borderId="13" applyAlignment="1" pivotButton="0" quotePrefix="0" xfId="3">
      <alignment vertical="center"/>
    </xf>
    <xf numFmtId="167" fontId="13" fillId="4" borderId="13" applyAlignment="1" pivotButton="0" quotePrefix="0" xfId="3">
      <alignment vertical="center" wrapText="1"/>
    </xf>
    <xf numFmtId="167" fontId="13" fillId="0" borderId="13" applyAlignment="1" pivotButton="0" quotePrefix="0" xfId="0">
      <alignment vertical="center"/>
    </xf>
    <xf numFmtId="167" fontId="11" fillId="0" borderId="13" applyAlignment="1" pivotButton="0" quotePrefix="0" xfId="3">
      <alignment horizontal="left" wrapText="1"/>
    </xf>
    <xf numFmtId="167" fontId="13" fillId="0" borderId="13" applyAlignment="1" pivotButton="0" quotePrefix="0" xfId="3">
      <alignment horizontal="left" vertical="center" wrapText="1"/>
    </xf>
    <xf numFmtId="167" fontId="5" fillId="0" borderId="0" pivotButton="0" quotePrefix="0" xfId="3"/>
    <xf numFmtId="167" fontId="5" fillId="0" borderId="0" applyAlignment="1" pivotButton="0" quotePrefix="0" xfId="3">
      <alignment wrapText="1"/>
    </xf>
    <xf numFmtId="167" fontId="5" fillId="0" borderId="0" pivotButton="0" quotePrefix="0" xfId="5"/>
    <xf numFmtId="167" fontId="11" fillId="0" borderId="4" applyAlignment="1" pivotButton="0" quotePrefix="0" xfId="35">
      <alignment vertical="center"/>
    </xf>
    <xf numFmtId="167" fontId="38" fillId="0" borderId="16" applyAlignment="1" pivotButton="0" quotePrefix="0" xfId="35">
      <alignment vertical="center"/>
    </xf>
    <xf numFmtId="167" fontId="34" fillId="0" borderId="16" applyAlignment="1" pivotButton="0" quotePrefix="0" xfId="35">
      <alignment vertical="center" wrapText="1"/>
    </xf>
    <xf numFmtId="167" fontId="33" fillId="0" borderId="13" applyAlignment="1" pivotButton="0" quotePrefix="0" xfId="3">
      <alignment vertical="center" wrapText="1"/>
    </xf>
    <xf numFmtId="49" fontId="12" fillId="2" borderId="8" applyAlignment="1" pivotButton="0" quotePrefix="0" xfId="0">
      <alignment horizontal="center" vertical="center"/>
    </xf>
    <xf numFmtId="167" fontId="13" fillId="0" borderId="14" applyAlignment="1" pivotButton="0" quotePrefix="0" xfId="35">
      <alignment horizontal="center" vertical="center"/>
    </xf>
    <xf numFmtId="43" fontId="30" fillId="0" borderId="4" applyAlignment="1" applyProtection="1" pivotButton="0" quotePrefix="0" xfId="4">
      <alignment horizontal="center"/>
      <protection locked="0" hidden="0"/>
    </xf>
    <xf numFmtId="167" fontId="18" fillId="7" borderId="19" applyAlignment="1" pivotButton="0" quotePrefix="0" xfId="0">
      <alignment wrapText="1"/>
    </xf>
    <xf numFmtId="167" fontId="18" fillId="10" borderId="13" applyAlignment="1" pivotButton="0" quotePrefix="0" xfId="0">
      <alignment horizontal="center" wrapText="1"/>
    </xf>
    <xf numFmtId="167" fontId="18" fillId="10" borderId="13" applyAlignment="1" pivotButton="0" quotePrefix="0" xfId="0">
      <alignment wrapText="1"/>
    </xf>
    <xf numFmtId="167" fontId="13" fillId="11" borderId="13" applyAlignment="1" pivotButton="0" quotePrefix="0" xfId="0">
      <alignment horizontal="left" wrapText="1"/>
    </xf>
    <xf numFmtId="167" fontId="39" fillId="12" borderId="13" applyAlignment="1" pivotButton="0" quotePrefix="0" xfId="0">
      <alignment wrapText="1"/>
    </xf>
    <xf numFmtId="167" fontId="29" fillId="0" borderId="13" applyAlignment="1" pivotButton="0" quotePrefix="0" xfId="0">
      <alignment horizontal="center" vertical="center" wrapText="1"/>
    </xf>
    <xf numFmtId="167" fontId="29" fillId="0" borderId="13" applyAlignment="1" pivotButton="0" quotePrefix="0" xfId="0">
      <alignment horizontal="left" wrapText="1"/>
    </xf>
    <xf numFmtId="167" fontId="11" fillId="0" borderId="13" applyAlignment="1" pivotButton="0" quotePrefix="0" xfId="0">
      <alignment vertical="center" wrapText="1"/>
    </xf>
    <xf numFmtId="167" fontId="13" fillId="11" borderId="13" applyAlignment="1" pivotButton="0" quotePrefix="0" xfId="0">
      <alignment horizontal="center" wrapText="1"/>
    </xf>
    <xf numFmtId="167" fontId="39" fillId="12" borderId="13" applyAlignment="1" pivotButton="0" quotePrefix="0" xfId="0">
      <alignment horizontal="center" wrapText="1"/>
    </xf>
    <xf numFmtId="167" fontId="13" fillId="12" borderId="13" applyAlignment="1" pivotButton="0" quotePrefix="0" xfId="35">
      <alignment vertical="center"/>
    </xf>
    <xf numFmtId="167" fontId="13" fillId="0" borderId="13" applyAlignment="1" pivotButton="0" quotePrefix="0" xfId="3">
      <alignment vertical="center"/>
    </xf>
    <xf numFmtId="167" fontId="13" fillId="0" borderId="13" applyAlignment="1" pivotButton="0" quotePrefix="0" xfId="3">
      <alignment horizontal="center" vertical="center"/>
    </xf>
    <xf numFmtId="167" fontId="39" fillId="12" borderId="13" applyAlignment="1" pivotButton="0" quotePrefix="0" xfId="3">
      <alignment horizontal="left" vertical="center"/>
    </xf>
    <xf numFmtId="167" fontId="39" fillId="12" borderId="13" applyAlignment="1" pivotButton="0" quotePrefix="0" xfId="3">
      <alignment horizontal="left" vertical="center" wrapText="1"/>
    </xf>
    <xf numFmtId="167" fontId="13" fillId="12" borderId="13" applyAlignment="1" pivotButton="0" quotePrefix="0" xfId="3">
      <alignment horizontal="left" vertical="center" wrapText="1"/>
    </xf>
    <xf numFmtId="167" fontId="13" fillId="12" borderId="13" applyAlignment="1" pivotButton="0" quotePrefix="0" xfId="3">
      <alignment horizontal="center" vertical="center"/>
    </xf>
    <xf numFmtId="167" fontId="13" fillId="12" borderId="13" applyAlignment="1" pivotButton="0" quotePrefix="0" xfId="35">
      <alignment horizontal="center" vertical="center" wrapText="1"/>
    </xf>
    <xf numFmtId="167" fontId="11" fillId="0" borderId="4" applyAlignment="1" pivotButton="0" quotePrefix="0" xfId="3">
      <alignment horizontal="center" vertical="center"/>
    </xf>
    <xf numFmtId="167" fontId="11" fillId="0" borderId="4" applyAlignment="1" pivotButton="0" quotePrefix="0" xfId="3">
      <alignment horizontal="left" vertical="center" wrapText="1"/>
    </xf>
    <xf numFmtId="167" fontId="11" fillId="0" borderId="4" applyAlignment="1" pivotButton="0" quotePrefix="0" xfId="35">
      <alignment horizontal="center" vertical="center" wrapText="1"/>
    </xf>
    <xf numFmtId="167" fontId="18" fillId="10" borderId="13" applyAlignment="1" pivotButton="0" quotePrefix="0" xfId="0">
      <alignment horizontal="right" wrapText="1"/>
    </xf>
    <xf numFmtId="167" fontId="13" fillId="11" borderId="13" applyAlignment="1" pivotButton="0" quotePrefix="0" xfId="0">
      <alignment horizontal="right" wrapText="1"/>
    </xf>
    <xf numFmtId="167" fontId="11" fillId="0" borderId="13" applyAlignment="1" pivotButton="0" quotePrefix="0" xfId="35">
      <alignment horizontal="right" vertical="center"/>
    </xf>
    <xf numFmtId="167" fontId="39" fillId="12" borderId="13" applyAlignment="1" pivotButton="0" quotePrefix="0" xfId="0">
      <alignment horizontal="right" wrapText="1"/>
    </xf>
    <xf numFmtId="167" fontId="13" fillId="12" borderId="13" applyAlignment="1" pivotButton="0" quotePrefix="0" xfId="35">
      <alignment horizontal="right" vertical="center"/>
    </xf>
    <xf numFmtId="167" fontId="11" fillId="0" borderId="4" applyAlignment="1" pivotButton="0" quotePrefix="0" xfId="35">
      <alignment horizontal="right" vertical="center"/>
    </xf>
    <xf numFmtId="167" fontId="39" fillId="12" borderId="12" applyAlignment="1" pivotButton="0" quotePrefix="0" xfId="0">
      <alignment horizontal="left" vertical="center"/>
    </xf>
    <xf numFmtId="167" fontId="39" fillId="12" borderId="12" applyAlignment="1" pivotButton="0" quotePrefix="0" xfId="0">
      <alignment horizontal="left" vertical="center" wrapText="1"/>
    </xf>
    <xf numFmtId="167" fontId="39" fillId="12" borderId="16" applyAlignment="1" pivotButton="0" quotePrefix="0" xfId="35">
      <alignment vertical="center"/>
    </xf>
    <xf numFmtId="167" fontId="39" fillId="12" borderId="13" applyAlignment="1" pivotButton="0" quotePrefix="0" xfId="35">
      <alignment vertical="center"/>
    </xf>
    <xf numFmtId="167" fontId="11" fillId="0" borderId="13" applyAlignment="1" pivotButton="0" quotePrefix="1" xfId="3">
      <alignment horizontal="left" vertical="center" wrapText="1"/>
    </xf>
    <xf numFmtId="167" fontId="39" fillId="12" borderId="13" applyAlignment="1" pivotButton="0" quotePrefix="0" xfId="3">
      <alignment horizontal="center" vertical="center"/>
    </xf>
    <xf numFmtId="167" fontId="39" fillId="12" borderId="13" applyAlignment="1" pivotButton="0" quotePrefix="0" xfId="35">
      <alignment horizontal="center" vertical="center"/>
    </xf>
    <xf numFmtId="167" fontId="13" fillId="0" borderId="13" applyAlignment="1" pivotButton="0" quotePrefix="0" xfId="3">
      <alignment horizontal="left" vertical="center"/>
    </xf>
    <xf numFmtId="167" fontId="11" fillId="0" borderId="14" applyAlignment="1" pivotButton="0" quotePrefix="0" xfId="3">
      <alignment horizontal="center" vertical="center"/>
    </xf>
    <xf numFmtId="167" fontId="11" fillId="0" borderId="14" applyAlignment="1" pivotButton="0" quotePrefix="0" xfId="3">
      <alignment horizontal="left" vertical="center" wrapText="1"/>
    </xf>
    <xf numFmtId="49" fontId="12" fillId="2" borderId="8" applyAlignment="1" pivotButton="0" quotePrefix="0" xfId="0">
      <alignment horizontal="left" vertical="center"/>
    </xf>
    <xf numFmtId="0" fontId="47" fillId="0" borderId="0" pivotButton="0" quotePrefix="0" xfId="10"/>
    <xf numFmtId="0" fontId="46" fillId="0" borderId="0" pivotButton="0" quotePrefix="0" xfId="10"/>
    <xf numFmtId="0" fontId="22" fillId="0" borderId="0" pivotButton="0" quotePrefix="0" xfId="10"/>
    <xf numFmtId="0" fontId="45" fillId="0" borderId="0" applyAlignment="1" pivotButton="0" quotePrefix="0" xfId="8">
      <alignment horizontal="center"/>
    </xf>
    <xf numFmtId="0" fontId="45" fillId="0" borderId="0" pivotButton="0" quotePrefix="0" xfId="10"/>
    <xf numFmtId="0" fontId="48" fillId="0" borderId="0" pivotButton="0" quotePrefix="0" xfId="10"/>
    <xf numFmtId="0" fontId="49" fillId="0" borderId="0" pivotButton="0" quotePrefix="0" xfId="10"/>
    <xf numFmtId="167" fontId="13" fillId="13" borderId="13" applyAlignment="1" pivotButton="0" quotePrefix="0" xfId="0">
      <alignment horizontal="center" vertical="center" wrapText="1"/>
    </xf>
    <xf numFmtId="167" fontId="13" fillId="13" borderId="13" applyAlignment="1" pivotButton="0" quotePrefix="0" xfId="0">
      <alignment horizontal="left" vertical="center" wrapText="1"/>
    </xf>
    <xf numFmtId="167" fontId="13" fillId="13" borderId="13" applyAlignment="1" pivotButton="0" quotePrefix="0" xfId="0">
      <alignment horizontal="center" vertical="center"/>
    </xf>
    <xf numFmtId="167" fontId="13" fillId="13" borderId="13" applyAlignment="1" pivotButton="0" quotePrefix="0" xfId="35">
      <alignment horizontal="center" vertical="center" wrapText="1"/>
    </xf>
    <xf numFmtId="167" fontId="13" fillId="13" borderId="13" applyAlignment="1" pivotButton="0" quotePrefix="0" xfId="35">
      <alignment horizontal="left" vertical="center" wrapText="1"/>
    </xf>
    <xf numFmtId="167" fontId="0" fillId="0" borderId="0" pivotButton="0" quotePrefix="0" xfId="0"/>
    <xf numFmtId="173" fontId="0" fillId="0" borderId="0" pivotButton="0" quotePrefix="0" xfId="0"/>
    <xf numFmtId="164" fontId="12" fillId="2" borderId="8" applyAlignment="1" applyProtection="1" pivotButton="0" quotePrefix="0" xfId="3">
      <alignment horizontal="center" vertical="center" wrapText="1"/>
      <protection locked="1" hidden="1"/>
    </xf>
    <xf numFmtId="0" fontId="12" fillId="3" borderId="8" applyAlignment="1" applyProtection="1" pivotButton="0" quotePrefix="0" xfId="3">
      <alignment horizontal="center" vertical="center" wrapText="1"/>
      <protection locked="1" hidden="1"/>
    </xf>
    <xf numFmtId="0" fontId="12" fillId="3" borderId="7" applyAlignment="1" pivotButton="0" quotePrefix="0" xfId="0">
      <alignment horizontal="center" vertical="center"/>
    </xf>
    <xf numFmtId="169" fontId="12" fillId="3" borderId="7" applyAlignment="1" pivotButton="0" quotePrefix="0" xfId="35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2" fillId="3" borderId="8" applyAlignment="1" pivotButton="0" quotePrefix="0" xfId="35">
      <alignment horizontal="center" vertical="center" wrapText="1"/>
    </xf>
    <xf numFmtId="164" fontId="12" fillId="2" borderId="8" applyAlignment="1" pivotButton="0" quotePrefix="0" xfId="3">
      <alignment horizontal="center" vertical="center" wrapText="1"/>
    </xf>
    <xf numFmtId="14" fontId="13" fillId="0" borderId="0" applyAlignment="1" pivotButton="0" quotePrefix="0" xfId="35">
      <alignment horizontal="left"/>
    </xf>
    <xf numFmtId="169" fontId="51" fillId="0" borderId="0" applyAlignment="1" pivotButton="0" quotePrefix="0" xfId="35">
      <alignment horizontal="left"/>
    </xf>
    <xf numFmtId="167" fontId="43" fillId="0" borderId="20" applyAlignment="1" pivotButton="0" quotePrefix="0" xfId="0">
      <alignment horizontal="center"/>
    </xf>
    <xf numFmtId="167" fontId="43" fillId="0" borderId="20" applyAlignment="1" pivotButton="0" quotePrefix="0" xfId="0">
      <alignment horizontal="center" wrapText="1"/>
    </xf>
    <xf numFmtId="167" fontId="43" fillId="0" borderId="18" applyAlignment="1" pivotButton="0" quotePrefix="0" xfId="0">
      <alignment horizontal="center"/>
    </xf>
    <xf numFmtId="167" fontId="43" fillId="0" borderId="20" applyAlignment="1" pivotButton="0" quotePrefix="0" xfId="0">
      <alignment horizontal="right" vertical="center"/>
    </xf>
    <xf numFmtId="167" fontId="43" fillId="0" borderId="20" applyAlignment="1" pivotButton="0" quotePrefix="0" xfId="0">
      <alignment horizontal="center" vertical="center"/>
    </xf>
    <xf numFmtId="167" fontId="43" fillId="0" borderId="18" applyAlignment="1" pivotButton="0" quotePrefix="0" xfId="0">
      <alignment horizontal="center" vertical="center"/>
    </xf>
    <xf numFmtId="167" fontId="11" fillId="0" borderId="7" applyAlignment="1" pivotButton="0" quotePrefix="0" xfId="35">
      <alignment vertical="center"/>
    </xf>
    <xf numFmtId="167" fontId="11" fillId="0" borderId="7" applyAlignment="1" pivotButton="0" quotePrefix="0" xfId="35">
      <alignment horizontal="center" vertical="center"/>
    </xf>
    <xf numFmtId="167" fontId="18" fillId="7" borderId="13" applyAlignment="1" pivotButton="0" quotePrefix="0" xfId="0">
      <alignment wrapText="1"/>
    </xf>
    <xf numFmtId="167" fontId="41" fillId="0" borderId="13" applyAlignment="1" pivotButton="0" quotePrefix="0" xfId="0">
      <alignment horizontal="left" wrapText="1"/>
    </xf>
    <xf numFmtId="167" fontId="41" fillId="0" borderId="13" applyAlignment="1" pivotButton="0" quotePrefix="0" xfId="0">
      <alignment horizontal="center" vertical="center" wrapText="1"/>
    </xf>
    <xf numFmtId="167" fontId="41" fillId="0" borderId="13" pivotButton="0" quotePrefix="0" xfId="0"/>
    <xf numFmtId="167" fontId="41" fillId="0" borderId="13" applyAlignment="1" pivotButton="0" quotePrefix="0" xfId="0">
      <alignment horizontal="left" vertical="center" wrapText="1"/>
    </xf>
    <xf numFmtId="167" fontId="40" fillId="0" borderId="13" applyAlignment="1" pivotButton="0" quotePrefix="0" xfId="0">
      <alignment horizontal="left" wrapText="1"/>
    </xf>
    <xf numFmtId="167" fontId="41" fillId="0" borderId="13" applyAlignment="1" pivotButton="0" quotePrefix="0" xfId="0">
      <alignment wrapText="1"/>
    </xf>
    <xf numFmtId="167" fontId="41" fillId="0" borderId="13" applyAlignment="1" pivotButton="0" quotePrefix="0" xfId="0">
      <alignment horizontal="left"/>
    </xf>
    <xf numFmtId="167" fontId="42" fillId="0" borderId="13" applyAlignment="1" pivotButton="0" quotePrefix="0" xfId="0">
      <alignment horizontal="center" vertical="center" wrapText="1"/>
    </xf>
    <xf numFmtId="167" fontId="44" fillId="0" borderId="13" pivotButton="0" quotePrefix="0" xfId="0"/>
    <xf numFmtId="167" fontId="18" fillId="7" borderId="13" applyAlignment="1" pivotButton="0" quotePrefix="0" xfId="0">
      <alignment horizontal="center" wrapText="1"/>
    </xf>
    <xf numFmtId="167" fontId="18" fillId="7" borderId="13" applyAlignment="1" pivotButton="0" quotePrefix="0" xfId="0">
      <alignment horizontal="right" wrapText="1"/>
    </xf>
    <xf numFmtId="0" fontId="52" fillId="0" borderId="0" applyAlignment="1" pivotButton="0" quotePrefix="0" xfId="2">
      <alignment horizontal="right"/>
    </xf>
    <xf numFmtId="0" fontId="53" fillId="0" borderId="0" applyAlignment="1" pivotButton="0" quotePrefix="0" xfId="2">
      <alignment horizontal="right"/>
    </xf>
    <xf numFmtId="0" fontId="54" fillId="0" borderId="0" applyAlignment="1" pivotButton="0" quotePrefix="0" xfId="2">
      <alignment horizontal="right"/>
    </xf>
    <xf numFmtId="0" fontId="55" fillId="0" borderId="1" applyAlignment="1" pivotButton="0" quotePrefix="0" xfId="2">
      <alignment horizontal="right"/>
    </xf>
    <xf numFmtId="169" fontId="56" fillId="0" borderId="0" applyAlignment="1" pivotButton="0" quotePrefix="0" xfId="35">
      <alignment horizontal="left"/>
    </xf>
    <xf numFmtId="169" fontId="58" fillId="3" borderId="8" applyAlignment="1" pivotButton="0" quotePrefix="0" xfId="0">
      <alignment horizontal="center" vertical="center" wrapText="1"/>
    </xf>
    <xf numFmtId="167" fontId="59" fillId="0" borderId="11" applyAlignment="1" pivotButton="0" quotePrefix="0" xfId="0">
      <alignment horizontal="center"/>
    </xf>
    <xf numFmtId="167" fontId="59" fillId="0" borderId="11" applyAlignment="1" pivotButton="0" quotePrefix="0" xfId="0">
      <alignment horizontal="center" vertical="center"/>
    </xf>
    <xf numFmtId="0" fontId="60" fillId="0" borderId="11" applyAlignment="1" pivotButton="0" quotePrefix="0" xfId="0">
      <alignment horizontal="center" vertical="center"/>
    </xf>
    <xf numFmtId="167" fontId="61" fillId="0" borderId="11" applyAlignment="1" pivotButton="0" quotePrefix="0" xfId="35">
      <alignment vertical="center"/>
    </xf>
    <xf numFmtId="167" fontId="61" fillId="0" borderId="11" applyAlignment="1" pivotButton="0" quotePrefix="0" xfId="35">
      <alignment horizontal="center" vertical="center"/>
    </xf>
    <xf numFmtId="167" fontId="59" fillId="0" borderId="13" applyAlignment="1" pivotButton="0" quotePrefix="0" xfId="0">
      <alignment horizontal="center"/>
    </xf>
    <xf numFmtId="167" fontId="61" fillId="0" borderId="13" pivotButton="0" quotePrefix="0" xfId="0"/>
    <xf numFmtId="167" fontId="61" fillId="0" borderId="13" applyAlignment="1" pivotButton="0" quotePrefix="0" xfId="0">
      <alignment horizontal="left" wrapText="1"/>
    </xf>
    <xf numFmtId="167" fontId="61" fillId="0" borderId="13" applyAlignment="1" pivotButton="0" quotePrefix="0" xfId="0">
      <alignment horizontal="center" vertical="center" wrapText="1"/>
    </xf>
    <xf numFmtId="167" fontId="62" fillId="0" borderId="13" applyAlignment="1" pivotButton="0" quotePrefix="0" xfId="0">
      <alignment horizontal="center" vertical="center" wrapText="1"/>
    </xf>
    <xf numFmtId="167" fontId="62" fillId="0" borderId="13" applyAlignment="1" pivotButton="0" quotePrefix="0" xfId="0">
      <alignment horizontal="left" wrapText="1"/>
    </xf>
    <xf numFmtId="167" fontId="61" fillId="0" borderId="13" applyAlignment="1" pivotButton="0" quotePrefix="0" xfId="35">
      <alignment vertical="center"/>
    </xf>
    <xf numFmtId="167" fontId="61" fillId="0" borderId="13" applyAlignment="1" pivotButton="0" quotePrefix="0" xfId="35">
      <alignment horizontal="center" vertical="center"/>
    </xf>
    <xf numFmtId="167" fontId="63" fillId="0" borderId="14" applyAlignment="1" pivotButton="0" quotePrefix="0" xfId="3">
      <alignment horizontal="left" vertical="center" wrapText="1"/>
    </xf>
    <xf numFmtId="167" fontId="63" fillId="0" borderId="14" applyAlignment="1" pivotButton="0" quotePrefix="0" xfId="3">
      <alignment vertical="center"/>
    </xf>
    <xf numFmtId="167" fontId="63" fillId="0" borderId="14" applyAlignment="1" pivotButton="0" quotePrefix="0" xfId="35">
      <alignment vertical="center"/>
    </xf>
    <xf numFmtId="167" fontId="63" fillId="0" borderId="14" applyAlignment="1" pivotButton="0" quotePrefix="0" xfId="35">
      <alignment horizontal="right" vertical="center"/>
    </xf>
    <xf numFmtId="167" fontId="63" fillId="0" borderId="14" applyAlignment="1" pivotButton="0" quotePrefix="0" xfId="35">
      <alignment horizontal="center" vertical="center"/>
    </xf>
    <xf numFmtId="49" fontId="5" fillId="6" borderId="13" applyAlignment="1" pivotButton="0" quotePrefix="0" xfId="19">
      <alignment horizontal="center" vertical="center" wrapText="1"/>
    </xf>
    <xf numFmtId="0" fontId="5" fillId="6" borderId="13" applyAlignment="1" pivotButton="0" quotePrefix="0" xfId="19">
      <alignment vertical="center" wrapText="1"/>
    </xf>
    <xf numFmtId="49" fontId="5" fillId="0" borderId="13" applyAlignment="1" pivotButton="0" quotePrefix="0" xfId="20">
      <alignment horizontal="center" vertical="center" wrapText="1"/>
    </xf>
    <xf numFmtId="1" fontId="5" fillId="6" borderId="13" applyAlignment="1" pivotButton="0" quotePrefix="0" xfId="21">
      <alignment vertical="center" wrapText="1"/>
    </xf>
    <xf numFmtId="49" fontId="64" fillId="0" borderId="13" applyAlignment="1" pivotButton="0" quotePrefix="0" xfId="19">
      <alignment horizontal="center" vertical="center" wrapText="1"/>
    </xf>
    <xf numFmtId="0" fontId="64" fillId="6" borderId="13" applyAlignment="1" pivotButton="0" quotePrefix="0" xfId="19">
      <alignment vertical="center" wrapText="1"/>
    </xf>
    <xf numFmtId="49" fontId="5" fillId="0" borderId="13" applyAlignment="1" pivotButton="0" quotePrefix="0" xfId="19">
      <alignment horizontal="center" vertical="center" wrapText="1"/>
    </xf>
    <xf numFmtId="49" fontId="64" fillId="0" borderId="13" applyAlignment="1" pivotButton="0" quotePrefix="0" xfId="20">
      <alignment horizontal="center" vertical="center" wrapText="1"/>
    </xf>
    <xf numFmtId="1" fontId="64" fillId="6" borderId="13" applyAlignment="1" pivotButton="0" quotePrefix="0" xfId="21">
      <alignment vertical="center" wrapText="1"/>
    </xf>
    <xf numFmtId="49" fontId="5" fillId="6" borderId="13" applyAlignment="1" pivotButton="0" quotePrefix="0" xfId="20">
      <alignment horizontal="center" vertical="center" wrapText="1"/>
    </xf>
    <xf numFmtId="49" fontId="64" fillId="6" borderId="13" applyAlignment="1" pivotButton="0" quotePrefix="0" xfId="19">
      <alignment horizontal="center" vertical="center" wrapText="1"/>
    </xf>
    <xf numFmtId="49" fontId="5" fillId="2" borderId="13" applyAlignment="1" pivotButton="0" quotePrefix="0" xfId="19">
      <alignment horizontal="center" vertical="center" wrapText="1"/>
    </xf>
    <xf numFmtId="49" fontId="5" fillId="2" borderId="13" applyAlignment="1" pivotButton="0" quotePrefix="0" xfId="20">
      <alignment horizontal="center" vertical="center" wrapText="1"/>
    </xf>
    <xf numFmtId="49" fontId="64" fillId="6" borderId="13" applyAlignment="1" pivotButton="0" quotePrefix="0" xfId="20">
      <alignment horizontal="center" vertical="center" wrapText="1"/>
    </xf>
    <xf numFmtId="49" fontId="33" fillId="6" borderId="13" applyAlignment="1" pivotButton="0" quotePrefix="0" xfId="19">
      <alignment horizontal="center" vertical="center" wrapText="1"/>
    </xf>
    <xf numFmtId="1" fontId="33" fillId="6" borderId="13" applyAlignment="1" pivotButton="0" quotePrefix="0" xfId="21">
      <alignment vertical="center" wrapText="1"/>
    </xf>
    <xf numFmtId="49" fontId="33" fillId="6" borderId="13" applyAlignment="1" pivotButton="0" quotePrefix="0" xfId="20">
      <alignment horizontal="center" vertical="center" wrapText="1"/>
    </xf>
    <xf numFmtId="0" fontId="33" fillId="6" borderId="13" applyAlignment="1" pivotButton="0" quotePrefix="0" xfId="19">
      <alignment vertical="center" wrapText="1"/>
    </xf>
    <xf numFmtId="1" fontId="5" fillId="0" borderId="13" applyAlignment="1" pivotButton="0" quotePrefix="0" xfId="21">
      <alignment vertical="center" wrapText="1"/>
    </xf>
    <xf numFmtId="0" fontId="5" fillId="0" borderId="13" applyAlignment="1" pivotButton="0" quotePrefix="0" xfId="19">
      <alignment vertical="center" wrapText="1"/>
    </xf>
    <xf numFmtId="49" fontId="42" fillId="6" borderId="13" applyAlignment="1" pivotButton="0" quotePrefix="0" xfId="19">
      <alignment horizontal="center" vertical="center" wrapText="1"/>
    </xf>
    <xf numFmtId="1" fontId="42" fillId="6" borderId="13" applyAlignment="1" pivotButton="0" quotePrefix="0" xfId="21">
      <alignment vertical="center" wrapText="1"/>
    </xf>
    <xf numFmtId="1" fontId="17" fillId="6" borderId="13" applyAlignment="1" pivotButton="0" quotePrefix="0" xfId="21">
      <alignment vertical="center" wrapText="1"/>
    </xf>
    <xf numFmtId="49" fontId="17" fillId="6" borderId="13" applyAlignment="1" pivotButton="0" quotePrefix="0" xfId="19">
      <alignment horizontal="center" vertical="center" wrapText="1"/>
    </xf>
    <xf numFmtId="0" fontId="17" fillId="6" borderId="13" applyAlignment="1" pivotButton="0" quotePrefix="0" xfId="19">
      <alignment vertical="center" wrapText="1"/>
    </xf>
    <xf numFmtId="1" fontId="29" fillId="6" borderId="13" applyAlignment="1" pivotButton="0" quotePrefix="0" xfId="21">
      <alignment vertical="center" wrapText="1"/>
    </xf>
    <xf numFmtId="49" fontId="5" fillId="6" borderId="13" applyAlignment="1" pivotButton="0" quotePrefix="1" xfId="19">
      <alignment horizontal="center" vertical="center" wrapText="1"/>
    </xf>
    <xf numFmtId="0" fontId="43" fillId="6" borderId="13" applyAlignment="1" pivotButton="0" quotePrefix="0" xfId="19">
      <alignment vertical="center" wrapText="1"/>
    </xf>
    <xf numFmtId="0" fontId="29" fillId="6" borderId="13" applyAlignment="1" pivotButton="0" quotePrefix="0" xfId="19">
      <alignment vertical="center" wrapText="1"/>
    </xf>
    <xf numFmtId="167" fontId="5" fillId="0" borderId="13" applyAlignment="1" pivotButton="0" quotePrefix="0" xfId="0">
      <alignment horizontal="center" vertical="center" wrapText="1"/>
    </xf>
    <xf numFmtId="167" fontId="5" fillId="0" borderId="13" applyAlignment="1" pivotButton="0" quotePrefix="0" xfId="0">
      <alignment horizontal="left" vertical="center" wrapText="1"/>
    </xf>
    <xf numFmtId="167" fontId="64" fillId="0" borderId="13" applyAlignment="1" pivotButton="0" quotePrefix="0" xfId="0">
      <alignment horizontal="center" vertical="center" wrapText="1"/>
    </xf>
    <xf numFmtId="167" fontId="64" fillId="0" borderId="13" applyAlignment="1" pivotButton="0" quotePrefix="0" xfId="0">
      <alignment horizontal="left" vertical="center" wrapText="1"/>
    </xf>
    <xf numFmtId="167" fontId="33" fillId="0" borderId="13" applyAlignment="1" pivotButton="0" quotePrefix="0" xfId="0">
      <alignment horizontal="center" vertical="center" wrapText="1"/>
    </xf>
    <xf numFmtId="167" fontId="17" fillId="0" borderId="13" applyAlignment="1" pivotButton="0" quotePrefix="0" xfId="0">
      <alignment horizontal="center" vertical="center" wrapText="1"/>
    </xf>
    <xf numFmtId="49" fontId="5" fillId="0" borderId="13" applyAlignment="1" pivotButton="0" quotePrefix="0" xfId="22">
      <alignment horizontal="left" vertical="center" wrapText="1"/>
    </xf>
    <xf numFmtId="167" fontId="5" fillId="14" borderId="13" applyAlignment="1" pivotButton="0" quotePrefix="0" xfId="0">
      <alignment horizontal="center" vertical="center" wrapText="1"/>
    </xf>
    <xf numFmtId="167" fontId="5" fillId="6" borderId="13" applyAlignment="1" pivotButton="0" quotePrefix="0" xfId="0">
      <alignment horizontal="center" vertical="center" wrapText="1"/>
    </xf>
    <xf numFmtId="167" fontId="17" fillId="6" borderId="13" applyAlignment="1" pivotButton="0" quotePrefix="0" xfId="0">
      <alignment horizontal="center" vertical="center" wrapText="1"/>
    </xf>
    <xf numFmtId="174" fontId="5" fillId="0" borderId="13" applyAlignment="1" pivotButton="0" quotePrefix="0" xfId="35">
      <alignment horizontal="center" vertical="center" wrapText="1"/>
    </xf>
    <xf numFmtId="174" fontId="64" fillId="0" borderId="13" applyAlignment="1" pivotButton="0" quotePrefix="0" xfId="35">
      <alignment horizontal="center" vertical="center" wrapText="1"/>
    </xf>
    <xf numFmtId="174" fontId="5" fillId="0" borderId="13" applyAlignment="1" pivotButton="0" quotePrefix="0" xfId="35">
      <alignment horizontal="center" vertical="center" wrapText="1"/>
    </xf>
    <xf numFmtId="174" fontId="42" fillId="0" borderId="13" applyAlignment="1" pivotButton="0" quotePrefix="0" xfId="35">
      <alignment horizontal="center" vertical="center" wrapText="1"/>
    </xf>
    <xf numFmtId="174" fontId="17" fillId="0" borderId="13" applyAlignment="1" pivotButton="0" quotePrefix="0" xfId="35">
      <alignment horizontal="center" vertical="center" wrapText="1"/>
    </xf>
    <xf numFmtId="174" fontId="5" fillId="0" borderId="13" applyAlignment="1" pivotButton="0" quotePrefix="0" xfId="35">
      <alignment horizontal="right" vertical="center"/>
    </xf>
    <xf numFmtId="174" fontId="64" fillId="0" borderId="13" applyAlignment="1" pivotButton="0" quotePrefix="0" xfId="35">
      <alignment horizontal="center" vertical="center" wrapText="1"/>
    </xf>
    <xf numFmtId="174" fontId="17" fillId="6" borderId="13" applyAlignment="1" pivotButton="0" quotePrefix="0" xfId="35">
      <alignment horizontal="center" vertical="center" wrapText="1"/>
    </xf>
    <xf numFmtId="49" fontId="17" fillId="16" borderId="13" applyAlignment="1" pivotButton="0" quotePrefix="1" xfId="19">
      <alignment horizontal="center" vertical="center" wrapText="1"/>
    </xf>
    <xf numFmtId="0" fontId="17" fillId="16" borderId="13" applyAlignment="1" pivotButton="0" quotePrefix="0" xfId="19">
      <alignment vertical="center" wrapText="1"/>
    </xf>
    <xf numFmtId="167" fontId="59" fillId="16" borderId="13" applyAlignment="1" pivotButton="0" quotePrefix="0" xfId="0">
      <alignment horizontal="center"/>
    </xf>
    <xf numFmtId="167" fontId="61" fillId="16" borderId="13" applyAlignment="1" pivotButton="0" quotePrefix="0" xfId="0">
      <alignment horizontal="center" vertical="center" wrapText="1"/>
    </xf>
    <xf numFmtId="167" fontId="62" fillId="16" borderId="13" applyAlignment="1" pivotButton="0" quotePrefix="0" xfId="0">
      <alignment horizontal="center" vertical="center" wrapText="1"/>
    </xf>
    <xf numFmtId="167" fontId="61" fillId="16" borderId="13" applyAlignment="1" pivotButton="0" quotePrefix="0" xfId="35">
      <alignment vertical="center"/>
    </xf>
    <xf numFmtId="167" fontId="61" fillId="16" borderId="13" applyAlignment="1" pivotButton="0" quotePrefix="0" xfId="35">
      <alignment horizontal="center" vertical="center"/>
    </xf>
    <xf numFmtId="49" fontId="17" fillId="16" borderId="13" applyAlignment="1" pivotButton="0" quotePrefix="0" xfId="19">
      <alignment horizontal="center" vertical="center" wrapText="1"/>
    </xf>
    <xf numFmtId="1" fontId="17" fillId="16" borderId="13" applyAlignment="1" pivotButton="0" quotePrefix="0" xfId="21">
      <alignment vertical="center" wrapText="1"/>
    </xf>
    <xf numFmtId="167" fontId="17" fillId="16" borderId="13" applyAlignment="1" pivotButton="0" quotePrefix="0" xfId="0">
      <alignment horizontal="center" vertical="center" wrapText="1"/>
    </xf>
    <xf numFmtId="174" fontId="17" fillId="16" borderId="13" applyAlignment="1" pivotButton="0" quotePrefix="0" xfId="35">
      <alignment horizontal="center" vertical="center" wrapText="1"/>
    </xf>
    <xf numFmtId="49" fontId="17" fillId="16" borderId="13" applyAlignment="1" pivotButton="0" quotePrefix="0" xfId="20">
      <alignment horizontal="center" vertical="center" wrapText="1"/>
    </xf>
    <xf numFmtId="167" fontId="17" fillId="16" borderId="13" applyAlignment="1" pivotButton="0" quotePrefix="0" xfId="0">
      <alignment horizontal="left" vertical="center" wrapText="1"/>
    </xf>
    <xf numFmtId="167" fontId="63" fillId="16" borderId="13" pivotButton="0" quotePrefix="0" xfId="0"/>
    <xf numFmtId="167" fontId="63" fillId="16" borderId="13" applyAlignment="1" pivotButton="0" quotePrefix="0" xfId="0">
      <alignment horizontal="left" wrapText="1"/>
    </xf>
    <xf numFmtId="167" fontId="63" fillId="16" borderId="13" applyAlignment="1" pivotButton="0" quotePrefix="0" xfId="0">
      <alignment horizontal="center" vertical="center" wrapText="1"/>
    </xf>
    <xf numFmtId="167" fontId="59" fillId="16" borderId="13" applyAlignment="1" pivotButton="0" quotePrefix="0" xfId="0">
      <alignment horizontal="center" vertical="center" wrapText="1"/>
    </xf>
    <xf numFmtId="167" fontId="63" fillId="16" borderId="13" applyAlignment="1" pivotButton="0" quotePrefix="0" xfId="35">
      <alignment vertical="center"/>
    </xf>
    <xf numFmtId="167" fontId="63" fillId="16" borderId="13" applyAlignment="1" pivotButton="0" quotePrefix="0" xfId="35">
      <alignment horizontal="center" vertical="center"/>
    </xf>
    <xf numFmtId="49" fontId="17" fillId="16" borderId="8" applyAlignment="1" pivotButton="0" quotePrefix="0" xfId="19">
      <alignment horizontal="center" vertical="center" wrapText="1"/>
    </xf>
    <xf numFmtId="0" fontId="17" fillId="16" borderId="8" applyAlignment="1" pivotButton="0" quotePrefix="0" xfId="19">
      <alignment vertical="center" wrapText="1"/>
    </xf>
    <xf numFmtId="167" fontId="17" fillId="16" borderId="8" applyAlignment="1" pivotButton="0" quotePrefix="0" xfId="0">
      <alignment horizontal="center" vertical="center" wrapText="1"/>
    </xf>
    <xf numFmtId="49" fontId="17" fillId="5" borderId="13" applyAlignment="1" pivotButton="0" quotePrefix="0" xfId="19">
      <alignment horizontal="center" vertical="center" wrapText="1"/>
    </xf>
    <xf numFmtId="0" fontId="17" fillId="5" borderId="13" applyAlignment="1" pivotButton="0" quotePrefix="0" xfId="19">
      <alignment vertical="center" wrapText="1"/>
    </xf>
    <xf numFmtId="167" fontId="17" fillId="5" borderId="13" applyAlignment="1" pivotButton="0" quotePrefix="0" xfId="0">
      <alignment horizontal="center" vertical="center" wrapText="1"/>
    </xf>
    <xf numFmtId="167" fontId="59" fillId="5" borderId="13" applyAlignment="1" pivotButton="0" quotePrefix="0" xfId="0">
      <alignment horizontal="center"/>
    </xf>
    <xf numFmtId="1" fontId="17" fillId="5" borderId="13" applyAlignment="1" pivotButton="0" quotePrefix="0" xfId="21">
      <alignment vertical="center" wrapText="1"/>
    </xf>
    <xf numFmtId="49" fontId="17" fillId="5" borderId="13" applyAlignment="1" pivotButton="0" quotePrefix="0" xfId="20">
      <alignment horizontal="center" vertical="center" wrapText="1"/>
    </xf>
    <xf numFmtId="167" fontId="17" fillId="5" borderId="13" applyAlignment="1" pivotButton="0" quotePrefix="0" xfId="0">
      <alignment horizontal="left" vertical="center" wrapText="1"/>
    </xf>
    <xf numFmtId="174" fontId="17" fillId="5" borderId="13" applyAlignment="1" pivotButton="0" quotePrefix="0" xfId="35">
      <alignment horizontal="center" vertical="center" wrapText="1"/>
    </xf>
    <xf numFmtId="167" fontId="63" fillId="5" borderId="13" applyAlignment="1" pivotButton="0" quotePrefix="0" xfId="0">
      <alignment horizontal="center" vertical="center" wrapText="1"/>
    </xf>
    <xf numFmtId="167" fontId="59" fillId="5" borderId="13" applyAlignment="1" pivotButton="0" quotePrefix="0" xfId="0">
      <alignment horizontal="center" vertical="center" wrapText="1"/>
    </xf>
    <xf numFmtId="167" fontId="63" fillId="5" borderId="13" applyAlignment="1" pivotButton="0" quotePrefix="0" xfId="35">
      <alignment vertical="center"/>
    </xf>
    <xf numFmtId="167" fontId="63" fillId="5" borderId="13" applyAlignment="1" pivotButton="0" quotePrefix="0" xfId="35">
      <alignment horizontal="center" vertical="center"/>
    </xf>
    <xf numFmtId="49" fontId="17" fillId="15" borderId="13" applyAlignment="1" pivotButton="0" quotePrefix="0" xfId="19">
      <alignment horizontal="center" vertical="center" wrapText="1"/>
    </xf>
    <xf numFmtId="1" fontId="17" fillId="15" borderId="13" applyAlignment="1" pivotButton="0" quotePrefix="0" xfId="21">
      <alignment vertical="center" wrapText="1"/>
    </xf>
    <xf numFmtId="167" fontId="17" fillId="15" borderId="13" applyAlignment="1" pivotButton="0" quotePrefix="0" xfId="0">
      <alignment horizontal="center" vertical="center" wrapText="1"/>
    </xf>
    <xf numFmtId="167" fontId="59" fillId="15" borderId="13" applyAlignment="1" pivotButton="0" quotePrefix="0" xfId="0">
      <alignment horizontal="center"/>
    </xf>
    <xf numFmtId="174" fontId="17" fillId="15" borderId="13" applyAlignment="1" pivotButton="0" quotePrefix="0" xfId="35">
      <alignment horizontal="center" vertical="center" wrapText="1"/>
    </xf>
    <xf numFmtId="0" fontId="17" fillId="15" borderId="13" applyAlignment="1" pivotButton="0" quotePrefix="0" xfId="19">
      <alignment vertical="center" wrapText="1"/>
    </xf>
    <xf numFmtId="49" fontId="17" fillId="15" borderId="13" applyAlignment="1" pivotButton="0" quotePrefix="0" xfId="20">
      <alignment horizontal="center" vertical="center" wrapText="1"/>
    </xf>
    <xf numFmtId="167" fontId="17" fillId="15" borderId="13" applyAlignment="1" pivotButton="0" quotePrefix="0" xfId="0">
      <alignment horizontal="left" vertical="center" wrapText="1"/>
    </xf>
    <xf numFmtId="167" fontId="63" fillId="15" borderId="13" applyAlignment="1" pivotButton="0" quotePrefix="0" xfId="0">
      <alignment horizontal="center" vertical="center" wrapText="1"/>
    </xf>
    <xf numFmtId="167" fontId="59" fillId="15" borderId="13" applyAlignment="1" pivotButton="0" quotePrefix="0" xfId="0">
      <alignment horizontal="center" vertical="center" wrapText="1"/>
    </xf>
    <xf numFmtId="167" fontId="63" fillId="15" borderId="13" applyAlignment="1" pivotButton="0" quotePrefix="0" xfId="35">
      <alignment vertical="center"/>
    </xf>
    <xf numFmtId="167" fontId="63" fillId="15" borderId="13" applyAlignment="1" pivotButton="0" quotePrefix="0" xfId="35">
      <alignment horizontal="center" vertical="center"/>
    </xf>
    <xf numFmtId="0" fontId="59" fillId="0" borderId="11" applyAlignment="1" pivotButton="0" quotePrefix="0" xfId="0">
      <alignment horizontal="center" wrapText="1"/>
    </xf>
    <xf numFmtId="0" fontId="63" fillId="16" borderId="13" applyAlignment="1" pivotButton="0" quotePrefix="0" xfId="0">
      <alignment wrapText="1"/>
    </xf>
    <xf numFmtId="0" fontId="61" fillId="0" borderId="13" applyAlignment="1" pivotButton="0" quotePrefix="0" xfId="0">
      <alignment wrapText="1"/>
    </xf>
    <xf numFmtId="0" fontId="63" fillId="0" borderId="14" applyAlignment="1" pivotButton="0" quotePrefix="0" xfId="3">
      <alignment horizontal="left" vertical="center" wrapText="1"/>
    </xf>
    <xf numFmtId="167" fontId="59" fillId="7" borderId="13" applyAlignment="1" pivotButton="0" quotePrefix="0" xfId="0">
      <alignment horizontal="center"/>
    </xf>
    <xf numFmtId="167" fontId="63" fillId="7" borderId="13" pivotButton="0" quotePrefix="0" xfId="0"/>
    <xf numFmtId="167" fontId="63" fillId="7" borderId="13" applyAlignment="1" pivotButton="0" quotePrefix="0" xfId="0">
      <alignment horizontal="left" wrapText="1"/>
    </xf>
    <xf numFmtId="167" fontId="63" fillId="7" borderId="13" applyAlignment="1" pivotButton="0" quotePrefix="0" xfId="0">
      <alignment horizontal="center" vertical="center" wrapText="1"/>
    </xf>
    <xf numFmtId="167" fontId="59" fillId="7" borderId="13" applyAlignment="1" pivotButton="0" quotePrefix="0" xfId="0">
      <alignment horizontal="center" vertical="center" wrapText="1"/>
    </xf>
    <xf numFmtId="167" fontId="63" fillId="7" borderId="13" applyAlignment="1" pivotButton="0" quotePrefix="0" xfId="35">
      <alignment vertical="center"/>
    </xf>
    <xf numFmtId="167" fontId="63" fillId="7" borderId="13" applyAlignment="1" pivotButton="0" quotePrefix="0" xfId="35">
      <alignment horizontal="center" vertical="center"/>
    </xf>
    <xf numFmtId="167" fontId="59" fillId="17" borderId="13" applyAlignment="1" pivotButton="0" quotePrefix="0" xfId="0">
      <alignment horizontal="center"/>
    </xf>
    <xf numFmtId="167" fontId="63" fillId="17" borderId="13" pivotButton="0" quotePrefix="0" xfId="0"/>
    <xf numFmtId="167" fontId="63" fillId="17" borderId="13" applyAlignment="1" pivotButton="0" quotePrefix="0" xfId="0">
      <alignment horizontal="left" wrapText="1"/>
    </xf>
    <xf numFmtId="167" fontId="63" fillId="17" borderId="13" applyAlignment="1" pivotButton="0" quotePrefix="0" xfId="0">
      <alignment horizontal="center" vertical="center" wrapText="1"/>
    </xf>
    <xf numFmtId="167" fontId="59" fillId="17" borderId="13" applyAlignment="1" pivotButton="0" quotePrefix="0" xfId="0">
      <alignment horizontal="center" vertical="center" wrapText="1"/>
    </xf>
    <xf numFmtId="167" fontId="63" fillId="17" borderId="13" applyAlignment="1" pivotButton="0" quotePrefix="0" xfId="35">
      <alignment vertical="center"/>
    </xf>
    <xf numFmtId="167" fontId="63" fillId="17" borderId="13" applyAlignment="1" pivotButton="0" quotePrefix="0" xfId="35">
      <alignment horizontal="center" vertical="center"/>
    </xf>
    <xf numFmtId="167" fontId="66" fillId="0" borderId="13" applyAlignment="1" pivotButton="0" quotePrefix="0" xfId="0">
      <alignment horizontal="center"/>
    </xf>
    <xf numFmtId="167" fontId="67" fillId="0" borderId="13" pivotButton="0" quotePrefix="0" xfId="0"/>
    <xf numFmtId="167" fontId="67" fillId="0" borderId="13" applyAlignment="1" pivotButton="0" quotePrefix="0" xfId="0">
      <alignment horizontal="left" wrapText="1"/>
    </xf>
    <xf numFmtId="167" fontId="67" fillId="0" borderId="13" applyAlignment="1" pivotButton="0" quotePrefix="0" xfId="0">
      <alignment horizontal="center" vertical="center" wrapText="1"/>
    </xf>
    <xf numFmtId="167" fontId="66" fillId="0" borderId="13" applyAlignment="1" pivotButton="0" quotePrefix="0" xfId="0">
      <alignment horizontal="center" vertical="center" wrapText="1"/>
    </xf>
    <xf numFmtId="167" fontId="67" fillId="0" borderId="13" applyAlignment="1" pivotButton="0" quotePrefix="0" xfId="35">
      <alignment vertical="center"/>
    </xf>
    <xf numFmtId="167" fontId="67" fillId="0" borderId="13" applyAlignment="1" pivotButton="0" quotePrefix="0" xfId="35">
      <alignment horizontal="center" vertical="center"/>
    </xf>
    <xf numFmtId="0" fontId="65" fillId="0" borderId="0" pivotButton="0" quotePrefix="0" xfId="0"/>
    <xf numFmtId="0" fontId="68" fillId="0" borderId="0" applyAlignment="1" pivotButton="0" quotePrefix="0" xfId="24">
      <alignment vertical="center"/>
    </xf>
    <xf numFmtId="0" fontId="68" fillId="0" borderId="0" applyAlignment="1" pivotButton="0" quotePrefix="0" xfId="24">
      <alignment vertical="center" wrapText="1"/>
    </xf>
    <xf numFmtId="0" fontId="29" fillId="0" borderId="0" applyAlignment="1" pivotButton="0" quotePrefix="0" xfId="24">
      <alignment horizontal="center" vertical="center" wrapText="1"/>
    </xf>
    <xf numFmtId="0" fontId="29" fillId="0" borderId="0" applyAlignment="1" pivotButton="0" quotePrefix="0" xfId="24">
      <alignment vertical="center"/>
    </xf>
    <xf numFmtId="175" fontId="29" fillId="0" borderId="0" applyAlignment="1" pivotButton="0" quotePrefix="0" xfId="24">
      <alignment vertical="center"/>
    </xf>
    <xf numFmtId="176" fontId="29" fillId="0" borderId="0" applyAlignment="1" pivotButton="0" quotePrefix="0" xfId="24">
      <alignment vertical="center"/>
    </xf>
    <xf numFmtId="177" fontId="29" fillId="0" borderId="0" applyAlignment="1" pivotButton="0" quotePrefix="0" xfId="24">
      <alignment vertical="center"/>
    </xf>
    <xf numFmtId="0" fontId="5" fillId="0" borderId="0" applyAlignment="1" pivotButton="0" quotePrefix="0" xfId="24">
      <alignment vertical="center"/>
    </xf>
    <xf numFmtId="177" fontId="5" fillId="0" borderId="0" applyAlignment="1" pivotButton="0" quotePrefix="0" xfId="24">
      <alignment vertical="center"/>
    </xf>
    <xf numFmtId="0" fontId="43" fillId="0" borderId="0" applyAlignment="1" pivotButton="0" quotePrefix="0" xfId="24">
      <alignment vertical="center"/>
    </xf>
    <xf numFmtId="177" fontId="43" fillId="0" borderId="0" applyAlignment="1" pivotButton="0" quotePrefix="0" xfId="24">
      <alignment vertical="center"/>
    </xf>
    <xf numFmtId="0" fontId="29" fillId="0" borderId="0" applyAlignment="1" pivotButton="0" quotePrefix="0" xfId="24">
      <alignment vertical="center" wrapText="1"/>
    </xf>
    <xf numFmtId="178" fontId="29" fillId="0" borderId="0" applyAlignment="1" pivotButton="0" quotePrefix="0" xfId="24">
      <alignment vertical="center" wrapText="1"/>
    </xf>
    <xf numFmtId="0" fontId="70" fillId="0" borderId="0" applyAlignment="1" pivotButton="0" quotePrefix="0" xfId="28">
      <alignment horizontal="justify" vertical="center" wrapText="1"/>
    </xf>
    <xf numFmtId="179" fontId="70" fillId="0" borderId="0" applyAlignment="1" pivotButton="0" quotePrefix="0" xfId="26">
      <alignment horizontal="justify" vertical="center" wrapText="1"/>
    </xf>
    <xf numFmtId="0" fontId="71" fillId="0" borderId="0" applyAlignment="1" pivotButton="0" quotePrefix="0" xfId="30">
      <alignment vertical="center"/>
    </xf>
    <xf numFmtId="179" fontId="71" fillId="0" borderId="0" applyAlignment="1" pivotButton="0" quotePrefix="0" xfId="26">
      <alignment vertical="center"/>
    </xf>
    <xf numFmtId="0" fontId="72" fillId="0" borderId="0" applyAlignment="1" pivotButton="0" quotePrefix="0" xfId="31">
      <alignment horizontal="center" vertical="center"/>
    </xf>
    <xf numFmtId="0" fontId="69" fillId="0" borderId="0" applyAlignment="1" pivotButton="0" quotePrefix="0" xfId="29">
      <alignment vertical="center"/>
    </xf>
    <xf numFmtId="169" fontId="69" fillId="17" borderId="8" applyAlignment="1" pivotButton="0" quotePrefix="0" xfId="32">
      <alignment vertical="center"/>
    </xf>
    <xf numFmtId="0" fontId="69" fillId="17" borderId="8" applyAlignment="1" pivotButton="0" quotePrefix="0" xfId="29">
      <alignment vertical="center"/>
    </xf>
    <xf numFmtId="0" fontId="69" fillId="17" borderId="9" applyAlignment="1" pivotButton="0" quotePrefix="0" xfId="29">
      <alignment vertical="center"/>
    </xf>
    <xf numFmtId="169" fontId="69" fillId="17" borderId="18" applyAlignment="1" pivotButton="0" quotePrefix="0" xfId="32">
      <alignment vertical="center"/>
    </xf>
    <xf numFmtId="0" fontId="72" fillId="0" borderId="0" applyAlignment="1" pivotButton="0" quotePrefix="0" xfId="29">
      <alignment vertical="center"/>
    </xf>
    <xf numFmtId="49" fontId="69" fillId="0" borderId="0" applyAlignment="1" pivotButton="0" quotePrefix="0" xfId="31">
      <alignment horizontal="center" vertical="center"/>
    </xf>
    <xf numFmtId="169" fontId="69" fillId="17" borderId="8" applyAlignment="1" pivotButton="0" quotePrefix="0" xfId="32">
      <alignment horizontal="center" vertical="center"/>
    </xf>
    <xf numFmtId="49" fontId="69" fillId="17" borderId="8" applyAlignment="1" pivotButton="0" quotePrefix="0" xfId="31">
      <alignment horizontal="center" vertical="center"/>
    </xf>
    <xf numFmtId="49" fontId="69" fillId="17" borderId="9" applyAlignment="1" pivotButton="0" quotePrefix="0" xfId="31">
      <alignment horizontal="center" vertical="center"/>
    </xf>
    <xf numFmtId="0" fontId="70" fillId="0" borderId="24" applyAlignment="1" pivotButton="0" quotePrefix="0" xfId="29">
      <alignment horizontal="center" vertical="center"/>
    </xf>
    <xf numFmtId="0" fontId="73" fillId="0" borderId="24" applyAlignment="1" pivotButton="0" quotePrefix="0" xfId="29">
      <alignment horizontal="center" vertical="center"/>
    </xf>
    <xf numFmtId="169" fontId="73" fillId="0" borderId="25" applyAlignment="1" pivotButton="0" quotePrefix="0" xfId="32">
      <alignment horizontal="center" vertical="center"/>
    </xf>
    <xf numFmtId="0" fontId="73" fillId="0" borderId="25" applyAlignment="1" pivotButton="0" quotePrefix="0" xfId="29">
      <alignment horizontal="center" vertical="center"/>
    </xf>
    <xf numFmtId="0" fontId="73" fillId="0" borderId="26" applyAlignment="1" pivotButton="0" quotePrefix="0" xfId="29">
      <alignment horizontal="center" vertical="center"/>
    </xf>
    <xf numFmtId="0" fontId="73" fillId="19" borderId="27" applyAlignment="1" pivotButton="0" quotePrefix="0" xfId="29">
      <alignment horizontal="center" vertical="center"/>
    </xf>
    <xf numFmtId="0" fontId="73" fillId="19" borderId="27" applyAlignment="1" pivotButton="0" quotePrefix="0" xfId="29">
      <alignment horizontal="left" vertical="center" wrapText="1"/>
    </xf>
    <xf numFmtId="169" fontId="73" fillId="19" borderId="27" applyAlignment="1" pivotButton="0" quotePrefix="0" xfId="32">
      <alignment horizontal="center" vertical="center"/>
    </xf>
    <xf numFmtId="169" fontId="73" fillId="19" borderId="28" applyAlignment="1" pivotButton="0" quotePrefix="0" xfId="32">
      <alignment horizontal="center" vertical="center"/>
    </xf>
    <xf numFmtId="169" fontId="71" fillId="0" borderId="0" applyAlignment="1" pivotButton="0" quotePrefix="0" xfId="30">
      <alignment vertical="center"/>
    </xf>
    <xf numFmtId="0" fontId="70" fillId="0" borderId="27" applyAlignment="1" pivotButton="0" quotePrefix="0" xfId="29">
      <alignment horizontal="center" vertical="center"/>
    </xf>
    <xf numFmtId="0" fontId="73" fillId="0" borderId="27" applyAlignment="1" pivotButton="0" quotePrefix="0" xfId="29">
      <alignment horizontal="center" vertical="center" wrapText="1"/>
    </xf>
    <xf numFmtId="169" fontId="73" fillId="0" borderId="27" applyAlignment="1" pivotButton="0" quotePrefix="0" xfId="32">
      <alignment horizontal="center" vertical="center" wrapText="1"/>
    </xf>
    <xf numFmtId="0" fontId="73" fillId="0" borderId="28" applyAlignment="1" pivotButton="0" quotePrefix="0" xfId="29">
      <alignment horizontal="center" vertical="center" wrapText="1"/>
    </xf>
    <xf numFmtId="0" fontId="70" fillId="0" borderId="27" applyAlignment="1" pivotButton="0" quotePrefix="0" xfId="29">
      <alignment horizontal="left" vertical="center" wrapText="1"/>
    </xf>
    <xf numFmtId="169" fontId="70" fillId="0" borderId="27" applyAlignment="1" pivotButton="0" quotePrefix="0" xfId="32">
      <alignment horizontal="left" vertical="center" wrapText="1"/>
    </xf>
    <xf numFmtId="169" fontId="70" fillId="0" borderId="28" applyAlignment="1" pivotButton="0" quotePrefix="0" xfId="32">
      <alignment horizontal="left" vertical="center" wrapText="1"/>
    </xf>
    <xf numFmtId="0" fontId="70" fillId="0" borderId="28" applyAlignment="1" pivotButton="0" quotePrefix="0" xfId="29">
      <alignment horizontal="left" vertical="center" wrapText="1"/>
    </xf>
    <xf numFmtId="0" fontId="70" fillId="0" borderId="27" applyAlignment="1" pivotButton="0" quotePrefix="1" xfId="29">
      <alignment horizontal="left" vertical="center" wrapText="1"/>
    </xf>
    <xf numFmtId="169" fontId="70" fillId="0" borderId="27" applyAlignment="1" pivotButton="0" quotePrefix="0" xfId="29">
      <alignment horizontal="left" vertical="center" wrapText="1"/>
    </xf>
    <xf numFmtId="169" fontId="70" fillId="0" borderId="28" applyAlignment="1" pivotButton="0" quotePrefix="0" xfId="29">
      <alignment horizontal="left" vertical="center" wrapText="1"/>
    </xf>
    <xf numFmtId="0" fontId="73" fillId="0" borderId="27" applyAlignment="1" pivotButton="0" quotePrefix="0" xfId="29">
      <alignment horizontal="center" vertical="center"/>
    </xf>
    <xf numFmtId="0" fontId="73" fillId="0" borderId="27" applyAlignment="1" pivotButton="0" quotePrefix="0" xfId="29">
      <alignment horizontal="left" vertical="center" wrapText="1"/>
    </xf>
    <xf numFmtId="169" fontId="73" fillId="0" borderId="27" applyAlignment="1" pivotButton="0" quotePrefix="0" xfId="32">
      <alignment horizontal="left" vertical="center" wrapText="1"/>
    </xf>
    <xf numFmtId="0" fontId="73" fillId="0" borderId="28" applyAlignment="1" pivotButton="0" quotePrefix="0" xfId="29">
      <alignment horizontal="left" vertical="center" wrapText="1"/>
    </xf>
    <xf numFmtId="169" fontId="73" fillId="19" borderId="27" applyAlignment="1" pivotButton="0" quotePrefix="0" xfId="32">
      <alignment horizontal="left" vertical="center" wrapText="1"/>
    </xf>
    <xf numFmtId="169" fontId="73" fillId="19" borderId="28" applyAlignment="1" pivotButton="0" quotePrefix="0" xfId="32">
      <alignment horizontal="left" vertical="center" wrapText="1"/>
    </xf>
    <xf numFmtId="0" fontId="74" fillId="0" borderId="0" applyAlignment="1" pivotButton="0" quotePrefix="0" xfId="30">
      <alignment vertical="center"/>
    </xf>
    <xf numFmtId="0" fontId="70" fillId="0" borderId="27" applyAlignment="1" pivotButton="0" quotePrefix="0" xfId="29">
      <alignment horizontal="center" vertical="center" wrapText="1"/>
    </xf>
    <xf numFmtId="49" fontId="70" fillId="0" borderId="27" applyAlignment="1" pivotButton="0" quotePrefix="0" xfId="29">
      <alignment horizontal="left" vertical="center" wrapText="1"/>
    </xf>
    <xf numFmtId="49" fontId="70" fillId="0" borderId="28" applyAlignment="1" pivotButton="0" quotePrefix="0" xfId="29">
      <alignment horizontal="left" vertical="center" wrapText="1"/>
    </xf>
    <xf numFmtId="0" fontId="73" fillId="17" borderId="27" applyAlignment="1" pivotButton="0" quotePrefix="0" xfId="29">
      <alignment vertical="center"/>
    </xf>
    <xf numFmtId="0" fontId="69" fillId="17" borderId="27" applyAlignment="1" pivotButton="0" quotePrefix="0" xfId="29">
      <alignment horizontal="center" vertical="center"/>
    </xf>
    <xf numFmtId="169" fontId="73" fillId="17" borderId="27" applyAlignment="1" pivotButton="0" quotePrefix="0" xfId="32">
      <alignment horizontal="center" vertical="center"/>
    </xf>
    <xf numFmtId="169" fontId="73" fillId="17" borderId="28" applyAlignment="1" pivotButton="0" quotePrefix="0" xfId="32">
      <alignment horizontal="center" vertical="center"/>
    </xf>
    <xf numFmtId="0" fontId="73" fillId="0" borderId="29" applyAlignment="1" pivotButton="0" quotePrefix="0" xfId="29">
      <alignment vertical="center"/>
    </xf>
    <xf numFmtId="0" fontId="73" fillId="0" borderId="29" applyAlignment="1" pivotButton="0" quotePrefix="0" xfId="29">
      <alignment horizontal="center" vertical="center"/>
    </xf>
    <xf numFmtId="169" fontId="73" fillId="0" borderId="29" applyAlignment="1" pivotButton="0" quotePrefix="0" xfId="32">
      <alignment horizontal="center" vertical="center"/>
    </xf>
    <xf numFmtId="0" fontId="73" fillId="0" borderId="30" applyAlignment="1" pivotButton="0" quotePrefix="0" xfId="29">
      <alignment horizontal="center" vertical="center"/>
    </xf>
    <xf numFmtId="0" fontId="73" fillId="0" borderId="0" applyAlignment="1" pivotButton="0" quotePrefix="0" xfId="29">
      <alignment vertical="center"/>
    </xf>
    <xf numFmtId="169" fontId="73" fillId="0" borderId="0" applyAlignment="1" pivotButton="0" quotePrefix="0" xfId="32">
      <alignment vertical="center"/>
    </xf>
    <xf numFmtId="0" fontId="70" fillId="0" borderId="0" applyAlignment="1" pivotButton="0" quotePrefix="0" xfId="29">
      <alignment horizontal="center" vertical="center"/>
    </xf>
    <xf numFmtId="0" fontId="70" fillId="0" borderId="0" applyAlignment="1" pivotButton="0" quotePrefix="0" xfId="29">
      <alignment vertical="center"/>
    </xf>
    <xf numFmtId="169" fontId="70" fillId="0" borderId="0" applyAlignment="1" pivotButton="0" quotePrefix="0" xfId="32">
      <alignment vertical="center"/>
    </xf>
    <xf numFmtId="169" fontId="70" fillId="0" borderId="0" applyAlignment="1" pivotButton="0" quotePrefix="0" xfId="29">
      <alignment vertical="center"/>
    </xf>
    <xf numFmtId="4" fontId="70" fillId="0" borderId="0" applyAlignment="1" pivotButton="0" quotePrefix="0" xfId="29">
      <alignment horizontal="right" vertical="center"/>
    </xf>
    <xf numFmtId="179" fontId="70" fillId="0" borderId="0" applyAlignment="1" pivotButton="0" quotePrefix="0" xfId="26">
      <alignment horizontal="right" vertical="center"/>
    </xf>
    <xf numFmtId="3" fontId="70" fillId="0" borderId="0" applyAlignment="1" pivotButton="0" quotePrefix="0" xfId="29">
      <alignment vertical="center"/>
    </xf>
    <xf numFmtId="0" fontId="63" fillId="7" borderId="13" applyAlignment="1" pivotButton="0" quotePrefix="0" xfId="0">
      <alignment wrapText="1"/>
    </xf>
    <xf numFmtId="0" fontId="63" fillId="17" borderId="13" applyAlignment="1" pivotButton="0" quotePrefix="0" xfId="0">
      <alignment wrapText="1"/>
    </xf>
    <xf numFmtId="0" fontId="67" fillId="0" borderId="13" applyAlignment="1" pivotButton="0" quotePrefix="0" xfId="0">
      <alignment wrapText="1"/>
    </xf>
    <xf numFmtId="167" fontId="59" fillId="16" borderId="13" applyAlignment="1" pivotButton="0" quotePrefix="0" xfId="0">
      <alignment horizontal="left" wrapText="1"/>
    </xf>
    <xf numFmtId="2" fontId="57" fillId="7" borderId="13" applyAlignment="1" pivotButton="0" quotePrefix="0" xfId="19">
      <alignment horizontal="left" vertical="center" wrapText="1"/>
    </xf>
    <xf numFmtId="0" fontId="57" fillId="7" borderId="13" applyAlignment="1" pivotButton="0" quotePrefix="0" xfId="19">
      <alignment vertical="center" wrapText="1"/>
    </xf>
    <xf numFmtId="167" fontId="57" fillId="7" borderId="13" applyAlignment="1" pivotButton="0" quotePrefix="0" xfId="0">
      <alignment horizontal="center" vertical="center" wrapText="1"/>
    </xf>
    <xf numFmtId="2" fontId="57" fillId="17" borderId="13" applyAlignment="1" pivotButton="0" quotePrefix="1" xfId="19">
      <alignment horizontal="center" vertical="center" wrapText="1"/>
    </xf>
    <xf numFmtId="0" fontId="57" fillId="17" borderId="13" applyAlignment="1" pivotButton="0" quotePrefix="0" xfId="19">
      <alignment vertical="center" wrapText="1"/>
    </xf>
    <xf numFmtId="167" fontId="57" fillId="17" borderId="13" applyAlignment="1" pivotButton="0" quotePrefix="0" xfId="0">
      <alignment horizontal="center" vertical="center" wrapText="1"/>
    </xf>
    <xf numFmtId="167" fontId="57" fillId="0" borderId="13" applyAlignment="1" pivotButton="0" quotePrefix="0" xfId="0">
      <alignment horizontal="center" vertical="center" wrapText="1"/>
    </xf>
    <xf numFmtId="1" fontId="57" fillId="6" borderId="13" applyAlignment="1" pivotButton="0" quotePrefix="0" xfId="19">
      <alignment horizontal="center" vertical="center" wrapText="1"/>
    </xf>
    <xf numFmtId="1" fontId="57" fillId="6" borderId="13" applyAlignment="1" pivotButton="0" quotePrefix="0" xfId="21">
      <alignment vertical="center" wrapText="1"/>
    </xf>
    <xf numFmtId="1" fontId="75" fillId="6" borderId="13" applyAlignment="1" pivotButton="0" quotePrefix="0" xfId="19">
      <alignment horizontal="center" vertical="center" wrapText="1"/>
    </xf>
    <xf numFmtId="1" fontId="75" fillId="6" borderId="13" applyAlignment="1" pivotButton="0" quotePrefix="0" xfId="21">
      <alignment vertical="center" wrapText="1"/>
    </xf>
    <xf numFmtId="1" fontId="57" fillId="0" borderId="13" applyAlignment="1" pivotButton="0" quotePrefix="0" xfId="19">
      <alignment horizontal="center" vertical="center" wrapText="1"/>
    </xf>
    <xf numFmtId="167" fontId="75" fillId="0" borderId="13" applyAlignment="1" pivotButton="0" quotePrefix="0" xfId="0">
      <alignment horizontal="center" vertical="center" wrapText="1"/>
    </xf>
    <xf numFmtId="1" fontId="75" fillId="0" borderId="13" applyAlignment="1" pivotButton="0" quotePrefix="0" xfId="19">
      <alignment horizontal="center" vertical="center" wrapText="1"/>
    </xf>
    <xf numFmtId="1" fontId="75" fillId="6" borderId="13" applyAlignment="1" pivotButton="0" quotePrefix="0" xfId="19">
      <alignment horizontal="left" vertical="center" wrapText="1"/>
    </xf>
    <xf numFmtId="1" fontId="62" fillId="6" borderId="13" applyAlignment="1" pivotButton="0" quotePrefix="0" xfId="21">
      <alignment vertical="center" wrapText="1"/>
    </xf>
    <xf numFmtId="0" fontId="57" fillId="0" borderId="13" applyAlignment="1" pivotButton="0" quotePrefix="0" xfId="33">
      <alignment vertical="center"/>
    </xf>
    <xf numFmtId="0" fontId="75" fillId="0" borderId="13" applyAlignment="1" pivotButton="0" quotePrefix="0" xfId="29">
      <alignment vertical="center"/>
    </xf>
    <xf numFmtId="0" fontId="57" fillId="0" borderId="13" applyAlignment="1" pivotButton="0" quotePrefix="0" xfId="29">
      <alignment vertical="center"/>
    </xf>
    <xf numFmtId="0" fontId="75" fillId="0" borderId="13" applyAlignment="1" pivotButton="0" quotePrefix="0" xfId="33">
      <alignment vertical="center"/>
    </xf>
    <xf numFmtId="0" fontId="75" fillId="0" borderId="13" applyAlignment="1" pivotButton="0" quotePrefix="0" xfId="33">
      <alignment horizontal="left" vertical="center"/>
    </xf>
    <xf numFmtId="0" fontId="57" fillId="0" borderId="13" applyAlignment="1" pivotButton="0" quotePrefix="0" xfId="29">
      <alignment horizontal="left" vertical="center"/>
    </xf>
    <xf numFmtId="0" fontId="75" fillId="0" borderId="13" applyAlignment="1" pivotButton="0" quotePrefix="0" xfId="33">
      <alignment horizontal="left" vertical="center" wrapText="1"/>
    </xf>
    <xf numFmtId="0" fontId="75" fillId="0" borderId="13" applyAlignment="1" pivotButton="0" quotePrefix="0" xfId="33">
      <alignment vertical="center" wrapText="1"/>
    </xf>
    <xf numFmtId="1" fontId="57" fillId="16" borderId="13" applyAlignment="1" pivotButton="0" quotePrefix="0" xfId="19">
      <alignment horizontal="center" vertical="center" wrapText="1"/>
    </xf>
    <xf numFmtId="1" fontId="57" fillId="16" borderId="13" applyAlignment="1" pivotButton="0" quotePrefix="0" xfId="21">
      <alignment vertical="center" wrapText="1"/>
    </xf>
    <xf numFmtId="167" fontId="57" fillId="16" borderId="13" applyAlignment="1" pivotButton="0" quotePrefix="0" xfId="0">
      <alignment horizontal="center" vertical="center" wrapText="1"/>
    </xf>
    <xf numFmtId="1" fontId="57" fillId="17" borderId="13" applyAlignment="1" pivotButton="0" quotePrefix="0" xfId="19">
      <alignment horizontal="center" vertical="center" wrapText="1"/>
    </xf>
    <xf numFmtId="1" fontId="57" fillId="17" borderId="13" applyAlignment="1" pivotButton="0" quotePrefix="0" xfId="21">
      <alignment vertical="center" wrapText="1"/>
    </xf>
    <xf numFmtId="2" fontId="76" fillId="6" borderId="13" applyAlignment="1" pivotButton="0" quotePrefix="0" xfId="19">
      <alignment horizontal="center" vertical="center" wrapText="1"/>
    </xf>
    <xf numFmtId="0" fontId="76" fillId="6" borderId="13" applyAlignment="1" pivotButton="0" quotePrefix="0" xfId="19">
      <alignment vertical="center" wrapText="1"/>
    </xf>
    <xf numFmtId="167" fontId="76" fillId="0" borderId="13" applyAlignment="1" pivotButton="0" quotePrefix="0" xfId="0">
      <alignment horizontal="center" vertical="center" wrapText="1"/>
    </xf>
    <xf numFmtId="167" fontId="66" fillId="0" borderId="13" applyAlignment="1" pivotButton="0" quotePrefix="0" xfId="0">
      <alignment horizontal="left" wrapText="1"/>
    </xf>
    <xf numFmtId="1" fontId="76" fillId="6" borderId="13" applyAlignment="1" pivotButton="0" quotePrefix="0" xfId="19">
      <alignment horizontal="center" vertical="center" wrapText="1"/>
    </xf>
    <xf numFmtId="1" fontId="76" fillId="6" borderId="13" applyAlignment="1" pivotButton="0" quotePrefix="0" xfId="21">
      <alignment vertical="center" wrapText="1"/>
    </xf>
    <xf numFmtId="1" fontId="76" fillId="0" borderId="13" applyAlignment="1" pivotButton="0" quotePrefix="0" xfId="19">
      <alignment horizontal="center" vertical="center" wrapText="1"/>
    </xf>
    <xf numFmtId="2" fontId="76" fillId="0" borderId="13" applyAlignment="1" pivotButton="0" quotePrefix="0" xfId="19">
      <alignment horizontal="center" vertical="center" wrapText="1"/>
    </xf>
    <xf numFmtId="0" fontId="76" fillId="6" borderId="13" applyAlignment="1" pivotButton="0" quotePrefix="0" xfId="34">
      <alignment vertical="center"/>
    </xf>
    <xf numFmtId="0" fontId="76" fillId="0" borderId="13" applyAlignment="1" pivotButton="0" quotePrefix="0" xfId="33">
      <alignment horizontal="left" vertical="center" wrapText="1"/>
    </xf>
    <xf numFmtId="0" fontId="76" fillId="0" borderId="13" applyAlignment="1" pivotButton="0" quotePrefix="0" xfId="29">
      <alignment horizontal="left" vertical="center" wrapText="1"/>
    </xf>
    <xf numFmtId="167" fontId="63" fillId="0" borderId="13" applyAlignment="1" pivotButton="0" quotePrefix="0" xfId="0">
      <alignment horizontal="center" vertical="center" wrapText="1"/>
    </xf>
    <xf numFmtId="167" fontId="59" fillId="0" borderId="13" applyAlignment="1" pivotButton="0" quotePrefix="0" xfId="0">
      <alignment horizontal="center" vertical="center" wrapText="1"/>
    </xf>
    <xf numFmtId="167" fontId="63" fillId="0" borderId="13" applyAlignment="1" pivotButton="0" quotePrefix="0" xfId="35">
      <alignment vertical="center"/>
    </xf>
    <xf numFmtId="167" fontId="63" fillId="0" borderId="13" applyAlignment="1" pivotButton="0" quotePrefix="0" xfId="35">
      <alignment horizontal="center" vertical="center"/>
    </xf>
    <xf numFmtId="0" fontId="77" fillId="0" borderId="0" pivotButton="0" quotePrefix="0" xfId="0"/>
    <xf numFmtId="0" fontId="79" fillId="0" borderId="0" applyAlignment="1" pivotButton="0" quotePrefix="0" xfId="0">
      <alignment vertical="center" wrapText="1"/>
    </xf>
    <xf numFmtId="0" fontId="80" fillId="0" borderId="0" pivotButton="0" quotePrefix="0" xfId="0"/>
    <xf numFmtId="169" fontId="77" fillId="0" borderId="0" pivotButton="0" quotePrefix="0" xfId="0"/>
    <xf numFmtId="0" fontId="80" fillId="0" borderId="0" applyAlignment="1" pivotButton="0" quotePrefix="0" xfId="0">
      <alignment horizontal="center" vertical="center"/>
    </xf>
    <xf numFmtId="0" fontId="43" fillId="0" borderId="0" applyAlignment="1" pivotButton="0" quotePrefix="0" xfId="24">
      <alignment horizontal="center" vertical="center"/>
    </xf>
    <xf numFmtId="14" fontId="43" fillId="0" borderId="0" applyAlignment="1" pivotButton="0" quotePrefix="0" xfId="25">
      <alignment horizontal="center" vertical="center"/>
    </xf>
    <xf numFmtId="49" fontId="43" fillId="0" borderId="0" applyAlignment="1" pivotButton="0" quotePrefix="0" xfId="25">
      <alignment horizontal="center" vertical="center" wrapText="1"/>
    </xf>
    <xf numFmtId="179" fontId="43" fillId="0" borderId="0" applyAlignment="1" pivotButton="0" quotePrefix="0" xfId="26">
      <alignment horizontal="center" vertical="center" wrapText="1"/>
    </xf>
    <xf numFmtId="167" fontId="59" fillId="0" borderId="13" applyAlignment="1" pivotButton="0" quotePrefix="0" xfId="0">
      <alignment horizontal="center" vertical="center"/>
    </xf>
    <xf numFmtId="0" fontId="5" fillId="0" borderId="0" applyAlignment="1" pivotButton="0" quotePrefix="0" xfId="3">
      <alignment vertical="center"/>
    </xf>
    <xf numFmtId="0" fontId="81" fillId="0" borderId="0" applyAlignment="1" pivotButton="0" quotePrefix="0" xfId="2">
      <alignment horizontal="left" vertical="center"/>
    </xf>
    <xf numFmtId="0" fontId="82" fillId="0" borderId="0" applyAlignment="1" pivotButton="0" quotePrefix="0" xfId="2">
      <alignment horizontal="left" vertical="center"/>
    </xf>
    <xf numFmtId="0" fontId="83" fillId="0" borderId="0" applyAlignment="1" pivotButton="0" quotePrefix="0" xfId="2">
      <alignment horizontal="left" vertical="center"/>
    </xf>
    <xf numFmtId="0" fontId="83" fillId="0" borderId="1" applyAlignment="1" pivotButton="0" quotePrefix="0" xfId="2">
      <alignment horizontal="left" vertical="center"/>
    </xf>
    <xf numFmtId="0" fontId="10" fillId="0" borderId="0" applyAlignment="1" pivotButton="0" quotePrefix="0" xfId="3">
      <alignment horizontal="left" vertical="center"/>
    </xf>
    <xf numFmtId="0" fontId="82" fillId="0" borderId="0" applyAlignment="1" pivotButton="0" quotePrefix="0" xfId="3">
      <alignment horizontal="left" vertical="center"/>
    </xf>
    <xf numFmtId="167" fontId="62" fillId="0" borderId="11" applyAlignment="1" pivotButton="0" quotePrefix="0" xfId="0">
      <alignment horizontal="center" vertical="center"/>
    </xf>
    <xf numFmtId="167" fontId="62" fillId="16" borderId="13" applyAlignment="1" pivotButton="0" quotePrefix="0" xfId="0">
      <alignment horizontal="center" vertical="center"/>
    </xf>
    <xf numFmtId="167" fontId="62" fillId="5" borderId="13" applyAlignment="1" pivotButton="0" quotePrefix="0" xfId="0">
      <alignment horizontal="center" vertical="center"/>
    </xf>
    <xf numFmtId="167" fontId="62" fillId="0" borderId="13" applyAlignment="1" pivotButton="0" quotePrefix="0" xfId="0">
      <alignment horizontal="center" vertical="center"/>
    </xf>
    <xf numFmtId="167" fontId="62" fillId="15" borderId="13" applyAlignment="1" pivotButton="0" quotePrefix="0" xfId="0">
      <alignment horizontal="center" vertical="center"/>
    </xf>
    <xf numFmtId="167" fontId="61" fillId="0" borderId="14" applyAlignment="1" pivotButton="0" quotePrefix="0" xfId="3">
      <alignment horizontal="left" vertical="center" wrapText="1"/>
    </xf>
    <xf numFmtId="0" fontId="30" fillId="0" borderId="3" applyAlignment="1" pivotButton="0" quotePrefix="0" xfId="3">
      <alignment horizontal="center" vertical="center" wrapText="1"/>
    </xf>
    <xf numFmtId="0" fontId="30" fillId="0" borderId="3" applyAlignment="1" pivotButton="0" quotePrefix="0" xfId="3">
      <alignment horizontal="center" vertical="center"/>
    </xf>
    <xf numFmtId="166" fontId="30" fillId="0" borderId="4" applyAlignment="1" pivotButton="0" quotePrefix="0" xfId="3">
      <alignment horizontal="center" vertical="center"/>
    </xf>
    <xf numFmtId="167" fontId="61" fillId="15" borderId="13" applyAlignment="1" pivotButton="0" quotePrefix="0" xfId="35">
      <alignment vertical="center"/>
    </xf>
    <xf numFmtId="0" fontId="5" fillId="0" borderId="0" applyAlignment="1" pivotButton="0" quotePrefix="0" xfId="3">
      <alignment vertical="center" wrapText="1"/>
    </xf>
    <xf numFmtId="164" fontId="5" fillId="0" borderId="0" applyAlignment="1" pivotButton="0" quotePrefix="0" xfId="3">
      <alignment vertical="center"/>
    </xf>
    <xf numFmtId="0" fontId="5" fillId="0" borderId="1" applyAlignment="1" pivotButton="0" quotePrefix="0" xfId="3">
      <alignment vertical="center" wrapText="1"/>
    </xf>
    <xf numFmtId="0" fontId="5" fillId="0" borderId="1" applyAlignment="1" pivotButton="0" quotePrefix="0" xfId="3">
      <alignment vertical="center"/>
    </xf>
    <xf numFmtId="164" fontId="5" fillId="0" borderId="1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 wrapText="1"/>
    </xf>
    <xf numFmtId="0" fontId="9" fillId="0" borderId="0" applyAlignment="1" pivotButton="0" quotePrefix="0" xfId="3">
      <alignment horizontal="center" vertical="center"/>
    </xf>
    <xf numFmtId="168" fontId="31" fillId="0" borderId="6" applyAlignment="1" pivotButton="0" quotePrefix="0" xfId="35">
      <alignment horizontal="center" vertical="center"/>
    </xf>
    <xf numFmtId="0" fontId="31" fillId="0" borderId="6" applyAlignment="1" pivotButton="0" quotePrefix="0" xfId="3">
      <alignment horizontal="center" vertical="center"/>
    </xf>
    <xf numFmtId="0" fontId="59" fillId="0" borderId="11" applyAlignment="1" pivotButton="0" quotePrefix="0" xfId="0">
      <alignment horizontal="center" vertical="center" wrapText="1"/>
    </xf>
    <xf numFmtId="0" fontId="63" fillId="16" borderId="13" applyAlignment="1" pivotButton="0" quotePrefix="0" xfId="0">
      <alignment vertical="center" wrapText="1"/>
    </xf>
    <xf numFmtId="167" fontId="63" fillId="16" borderId="13" applyAlignment="1" pivotButton="0" quotePrefix="0" xfId="0">
      <alignment vertical="center"/>
    </xf>
    <xf numFmtId="167" fontId="63" fillId="16" borderId="13" applyAlignment="1" pivotButton="0" quotePrefix="0" xfId="0">
      <alignment horizontal="left" vertical="center" wrapText="1"/>
    </xf>
    <xf numFmtId="0" fontId="63" fillId="5" borderId="13" applyAlignment="1" pivotButton="0" quotePrefix="0" xfId="0">
      <alignment vertical="center" wrapText="1"/>
    </xf>
    <xf numFmtId="167" fontId="63" fillId="5" borderId="13" applyAlignment="1" pivotButton="0" quotePrefix="0" xfId="0">
      <alignment vertical="center"/>
    </xf>
    <xf numFmtId="167" fontId="63" fillId="5" borderId="13" applyAlignment="1" pivotButton="0" quotePrefix="0" xfId="0">
      <alignment horizontal="left" vertical="center" wrapText="1"/>
    </xf>
    <xf numFmtId="0" fontId="61" fillId="0" borderId="13" applyAlignment="1" pivotButton="0" quotePrefix="0" xfId="0">
      <alignment vertical="center" wrapText="1"/>
    </xf>
    <xf numFmtId="167" fontId="61" fillId="0" borderId="13" applyAlignment="1" pivotButton="0" quotePrefix="0" xfId="0">
      <alignment vertical="center"/>
    </xf>
    <xf numFmtId="167" fontId="61" fillId="0" borderId="13" applyAlignment="1" pivotButton="0" quotePrefix="0" xfId="0">
      <alignment horizontal="left" vertical="center" wrapText="1"/>
    </xf>
    <xf numFmtId="0" fontId="67" fillId="0" borderId="13" applyAlignment="1" pivotButton="0" quotePrefix="0" xfId="0">
      <alignment vertical="center" wrapText="1"/>
    </xf>
    <xf numFmtId="167" fontId="67" fillId="0" borderId="13" applyAlignment="1" pivotButton="0" quotePrefix="0" xfId="0">
      <alignment vertical="center"/>
    </xf>
    <xf numFmtId="167" fontId="67" fillId="0" borderId="13" applyAlignment="1" pivotButton="0" quotePrefix="0" xfId="0">
      <alignment horizontal="left" vertical="center" wrapText="1"/>
    </xf>
    <xf numFmtId="0" fontId="63" fillId="0" borderId="13" applyAlignment="1" pivotButton="0" quotePrefix="0" xfId="0">
      <alignment vertical="center" wrapText="1"/>
    </xf>
    <xf numFmtId="167" fontId="63" fillId="0" borderId="13" applyAlignment="1" pivotButton="0" quotePrefix="0" xfId="0">
      <alignment vertical="center"/>
    </xf>
    <xf numFmtId="167" fontId="63" fillId="0" borderId="13" applyAlignment="1" pivotButton="0" quotePrefix="0" xfId="0">
      <alignment horizontal="left" vertical="center" wrapText="1"/>
    </xf>
    <xf numFmtId="0" fontId="63" fillId="15" borderId="13" applyAlignment="1" pivotButton="0" quotePrefix="0" xfId="0">
      <alignment vertical="center" wrapText="1"/>
    </xf>
    <xf numFmtId="167" fontId="63" fillId="15" borderId="13" applyAlignment="1" pivotButton="0" quotePrefix="0" xfId="0">
      <alignment vertical="center"/>
    </xf>
    <xf numFmtId="167" fontId="63" fillId="15" borderId="13" applyAlignment="1" pivotButton="0" quotePrefix="0" xfId="0">
      <alignment horizontal="left" vertical="center" wrapText="1"/>
    </xf>
    <xf numFmtId="0" fontId="61" fillId="16" borderId="13" applyAlignment="1" pivotButton="0" quotePrefix="0" xfId="0">
      <alignment vertical="center" wrapText="1"/>
    </xf>
    <xf numFmtId="167" fontId="61" fillId="16" borderId="13" applyAlignment="1" pivotButton="0" quotePrefix="0" xfId="0">
      <alignment vertical="center"/>
    </xf>
    <xf numFmtId="167" fontId="61" fillId="16" borderId="13" applyAlignment="1" pivotButton="0" quotePrefix="0" xfId="0">
      <alignment horizontal="left" vertical="center" wrapText="1"/>
    </xf>
    <xf numFmtId="43" fontId="5" fillId="0" borderId="0" applyAlignment="1" pivotButton="0" quotePrefix="0" xfId="5">
      <alignment vertical="center"/>
    </xf>
    <xf numFmtId="167" fontId="84" fillId="0" borderId="13" applyAlignment="1" pivotButton="0" quotePrefix="0" xfId="0">
      <alignment horizontal="center" vertical="center" wrapText="1"/>
    </xf>
    <xf numFmtId="167" fontId="85" fillId="0" borderId="13" applyAlignment="1" pivotButton="0" quotePrefix="0" xfId="0">
      <alignment horizontal="center" vertical="center" wrapText="1"/>
    </xf>
    <xf numFmtId="167" fontId="34" fillId="0" borderId="13" applyAlignment="1" pivotButton="0" quotePrefix="0" xfId="3">
      <alignment vertical="center" wrapText="1"/>
    </xf>
    <xf numFmtId="167" fontId="34" fillId="0" borderId="13" applyAlignment="1" pivotButton="0" quotePrefix="0" xfId="26">
      <alignment vertical="center" wrapText="1"/>
    </xf>
    <xf numFmtId="167" fontId="34" fillId="0" borderId="13" applyAlignment="1" pivotButton="0" quotePrefix="0" xfId="26">
      <alignment horizontal="center" vertical="center" wrapText="1"/>
    </xf>
    <xf numFmtId="167" fontId="34" fillId="14" borderId="13" applyAlignment="1" pivotButton="0" quotePrefix="0" xfId="26">
      <alignment vertical="center" wrapText="1"/>
    </xf>
    <xf numFmtId="166" fontId="13" fillId="0" borderId="8" applyAlignment="1" applyProtection="1" pivotButton="0" quotePrefix="0" xfId="4">
      <alignment horizontal="center" vertical="center"/>
      <protection locked="0" hidden="0"/>
    </xf>
    <xf numFmtId="165" fontId="13" fillId="0" borderId="8" applyAlignment="1" applyProtection="1" pivotButton="0" quotePrefix="0" xfId="4">
      <alignment horizontal="center" vertical="center"/>
      <protection locked="0" hidden="0"/>
    </xf>
    <xf numFmtId="165" fontId="13" fillId="23" borderId="8" applyAlignment="1" applyProtection="1" pivotButton="0" quotePrefix="0" xfId="4">
      <alignment horizontal="center" vertical="center"/>
      <protection locked="0" hidden="0"/>
    </xf>
    <xf numFmtId="165" fontId="13" fillId="23" borderId="8" applyAlignment="1" applyProtection="1" pivotButton="0" quotePrefix="0" xfId="4">
      <alignment horizontal="center" vertical="center" wrapText="1"/>
      <protection locked="0" hidden="0"/>
    </xf>
    <xf numFmtId="165" fontId="13" fillId="18" borderId="8" applyAlignment="1" applyProtection="1" pivotButton="0" quotePrefix="0" xfId="4">
      <alignment horizontal="center" vertical="center"/>
      <protection locked="0" hidden="0"/>
    </xf>
    <xf numFmtId="9" fontId="18" fillId="0" borderId="8" applyAlignment="1" pivotButton="0" quotePrefix="0" xfId="17">
      <alignment horizontal="center" vertical="center"/>
    </xf>
    <xf numFmtId="180" fontId="18" fillId="0" borderId="8" applyAlignment="1" pivotButton="0" quotePrefix="0" xfId="17">
      <alignment horizontal="center" vertical="center"/>
    </xf>
    <xf numFmtId="180" fontId="18" fillId="23" borderId="8" applyAlignment="1" pivotButton="0" quotePrefix="0" xfId="17">
      <alignment horizontal="center" vertical="center"/>
    </xf>
    <xf numFmtId="9" fontId="18" fillId="18" borderId="8" applyAlignment="1" pivotButton="0" quotePrefix="0" xfId="17">
      <alignment horizontal="center" vertical="center"/>
    </xf>
    <xf numFmtId="167" fontId="61" fillId="14" borderId="13" applyAlignment="1" pivotButton="0" quotePrefix="0" xfId="35">
      <alignment vertical="center"/>
    </xf>
    <xf numFmtId="167" fontId="86" fillId="0" borderId="13" applyAlignment="1" pivotButton="0" quotePrefix="0" xfId="0">
      <alignment horizontal="center" vertical="center" wrapText="1"/>
    </xf>
    <xf numFmtId="168" fontId="31" fillId="0" borderId="6" applyAlignment="1" pivotButton="0" quotePrefix="0" xfId="35">
      <alignment horizontal="right" vertical="center"/>
    </xf>
    <xf numFmtId="174" fontId="31" fillId="17" borderId="6" applyAlignment="1" pivotButton="0" quotePrefix="0" xfId="35">
      <alignment vertical="center"/>
    </xf>
    <xf numFmtId="168" fontId="31" fillId="15" borderId="6" applyAlignment="1" pivotButton="0" quotePrefix="0" xfId="35">
      <alignment horizontal="center" vertical="center"/>
    </xf>
    <xf numFmtId="167" fontId="61" fillId="17" borderId="13" applyAlignment="1" pivotButton="0" quotePrefix="0" xfId="35">
      <alignment vertical="center"/>
    </xf>
    <xf numFmtId="167" fontId="59" fillId="0" borderId="13" applyAlignment="1" pivotButton="0" quotePrefix="0" xfId="0">
      <alignment horizontal="left" wrapText="1"/>
    </xf>
    <xf numFmtId="0" fontId="61" fillId="24" borderId="13" applyAlignment="1" pivotButton="0" quotePrefix="0" xfId="0">
      <alignment vertical="center" wrapText="1"/>
    </xf>
    <xf numFmtId="167" fontId="61" fillId="24" borderId="13" applyAlignment="1" pivotButton="0" quotePrefix="0" xfId="0">
      <alignment vertical="center"/>
    </xf>
    <xf numFmtId="167" fontId="61" fillId="24" borderId="13" applyAlignment="1" pivotButton="0" quotePrefix="0" xfId="0">
      <alignment horizontal="left" vertical="center" wrapText="1"/>
    </xf>
    <xf numFmtId="167" fontId="61" fillId="24" borderId="13" applyAlignment="1" pivotButton="0" quotePrefix="0" xfId="0">
      <alignment horizontal="center" vertical="center" wrapText="1"/>
    </xf>
    <xf numFmtId="167" fontId="62" fillId="24" borderId="13" applyAlignment="1" pivotButton="0" quotePrefix="0" xfId="0">
      <alignment horizontal="center" vertical="center" wrapText="1"/>
    </xf>
    <xf numFmtId="167" fontId="34" fillId="24" borderId="13" applyAlignment="1" pivotButton="0" quotePrefix="0" xfId="3">
      <alignment wrapText="1"/>
    </xf>
    <xf numFmtId="167" fontId="33" fillId="24" borderId="13" applyAlignment="1" pivotButton="0" quotePrefix="0" xfId="3">
      <alignment horizontal="left" vertical="center" wrapText="1"/>
    </xf>
    <xf numFmtId="167" fontId="34" fillId="24" borderId="16" applyAlignment="1" pivotButton="0" quotePrefix="0" xfId="35">
      <alignment vertical="center"/>
    </xf>
    <xf numFmtId="167" fontId="34" fillId="24" borderId="16" applyAlignment="1" pivotButton="0" quotePrefix="0" xfId="35">
      <alignment horizontal="center" vertical="center"/>
    </xf>
    <xf numFmtId="0" fontId="87" fillId="20" borderId="33" applyAlignment="1" pivotButton="0" quotePrefix="0" xfId="0">
      <alignment horizontal="center" vertical="center" wrapText="1"/>
    </xf>
    <xf numFmtId="0" fontId="87" fillId="20" borderId="35" applyAlignment="1" pivotButton="0" quotePrefix="0" xfId="0">
      <alignment horizontal="center" vertical="center" wrapText="1"/>
    </xf>
    <xf numFmtId="0" fontId="88" fillId="20" borderId="37" applyAlignment="1" pivotButton="0" quotePrefix="0" xfId="0">
      <alignment vertical="center" wrapText="1"/>
    </xf>
    <xf numFmtId="0" fontId="87" fillId="21" borderId="36" applyAlignment="1" pivotButton="0" quotePrefix="0" xfId="0">
      <alignment horizontal="center" vertical="center"/>
    </xf>
    <xf numFmtId="0" fontId="87" fillId="21" borderId="37" applyAlignment="1" pivotButton="0" quotePrefix="0" xfId="0">
      <alignment horizontal="center" vertical="center"/>
    </xf>
    <xf numFmtId="0" fontId="87" fillId="21" borderId="37" applyAlignment="1" pivotButton="0" quotePrefix="0" xfId="0">
      <alignment horizontal="center" vertical="center" wrapText="1"/>
    </xf>
    <xf numFmtId="0" fontId="89" fillId="0" borderId="36" applyAlignment="1" pivotButton="0" quotePrefix="0" xfId="0">
      <alignment horizontal="center" vertical="center"/>
    </xf>
    <xf numFmtId="0" fontId="89" fillId="0" borderId="37" applyAlignment="1" pivotButton="0" quotePrefix="0" xfId="0">
      <alignment vertical="center" wrapText="1"/>
    </xf>
    <xf numFmtId="169" fontId="89" fillId="0" borderId="37" applyAlignment="1" pivotButton="0" quotePrefix="0" xfId="0">
      <alignment vertical="center" wrapText="1"/>
    </xf>
    <xf numFmtId="0" fontId="89" fillId="10" borderId="37" applyAlignment="1" pivotButton="0" quotePrefix="0" xfId="0">
      <alignment vertical="center" wrapText="1"/>
    </xf>
    <xf numFmtId="0" fontId="89" fillId="7" borderId="37" applyAlignment="1" pivotButton="0" quotePrefix="0" xfId="0">
      <alignment vertical="center" wrapText="1"/>
    </xf>
    <xf numFmtId="0" fontId="88" fillId="0" borderId="37" applyAlignment="1" pivotButton="0" quotePrefix="0" xfId="0">
      <alignment vertical="center" wrapText="1"/>
    </xf>
    <xf numFmtId="0" fontId="88" fillId="0" borderId="36" applyAlignment="1" pivotButton="0" quotePrefix="0" xfId="0">
      <alignment horizontal="center" vertical="center"/>
    </xf>
    <xf numFmtId="0" fontId="91" fillId="0" borderId="37" applyAlignment="1" pivotButton="0" quotePrefix="0" xfId="0">
      <alignment vertical="center" wrapText="1"/>
    </xf>
    <xf numFmtId="0" fontId="92" fillId="21" borderId="37" applyAlignment="1" pivotButton="0" quotePrefix="0" xfId="0">
      <alignment horizontal="center" vertical="center"/>
    </xf>
    <xf numFmtId="0" fontId="87" fillId="22" borderId="36" applyAlignment="1" pivotButton="0" quotePrefix="0" xfId="0">
      <alignment horizontal="center" vertical="center"/>
    </xf>
    <xf numFmtId="0" fontId="87" fillId="22" borderId="37" applyAlignment="1" pivotButton="0" quotePrefix="0" xfId="0">
      <alignment horizontal="center" vertical="center"/>
    </xf>
    <xf numFmtId="169" fontId="87" fillId="22" borderId="37" applyAlignment="1" pivotButton="0" quotePrefix="0" xfId="0">
      <alignment horizontal="center" vertical="center"/>
    </xf>
    <xf numFmtId="0" fontId="87" fillId="22" borderId="37" applyAlignment="1" pivotButton="0" quotePrefix="0" xfId="0">
      <alignment horizontal="center" vertical="center" wrapText="1"/>
    </xf>
    <xf numFmtId="167" fontId="34" fillId="2" borderId="16" applyAlignment="1" pivotButton="0" quotePrefix="0" xfId="35">
      <alignment vertical="center"/>
    </xf>
    <xf numFmtId="167" fontId="11" fillId="24" borderId="16" applyAlignment="1" pivotButton="0" quotePrefix="0" xfId="35">
      <alignment vertical="center"/>
    </xf>
    <xf numFmtId="167" fontId="34" fillId="0" borderId="16" applyAlignment="1" pivotButton="0" quotePrefix="0" xfId="26">
      <alignment vertical="center"/>
    </xf>
    <xf numFmtId="167" fontId="34" fillId="0" borderId="16" applyAlignment="1" pivotButton="0" quotePrefix="0" xfId="26">
      <alignment horizontal="center" vertical="center"/>
    </xf>
    <xf numFmtId="167" fontId="34" fillId="0" borderId="16" applyAlignment="1" pivotButton="0" quotePrefix="0" xfId="26">
      <alignment vertical="center"/>
    </xf>
    <xf numFmtId="167" fontId="11" fillId="0" borderId="13" applyAlignment="1" pivotButton="0" quotePrefix="0" xfId="26">
      <alignment vertical="center" wrapText="1"/>
    </xf>
    <xf numFmtId="167" fontId="34" fillId="0" borderId="13" applyAlignment="1" pivotButton="0" quotePrefix="0" xfId="26">
      <alignment vertical="center" wrapText="1"/>
    </xf>
    <xf numFmtId="0" fontId="58" fillId="3" borderId="9" applyAlignment="1" pivotButton="0" quotePrefix="0" xfId="0">
      <alignment horizontal="center" vertical="center" wrapText="1"/>
    </xf>
    <xf numFmtId="0" fontId="58" fillId="3" borderId="8" applyAlignment="1" pivotButton="0" quotePrefix="0" xfId="0">
      <alignment horizontal="center" vertical="center" wrapText="1"/>
    </xf>
    <xf numFmtId="169" fontId="58" fillId="3" borderId="8" applyAlignment="1" pivotButton="0" quotePrefix="0" xfId="0">
      <alignment horizontal="center" vertical="center" wrapText="1"/>
    </xf>
    <xf numFmtId="172" fontId="17" fillId="3" borderId="8" applyAlignment="1" pivotButton="0" quotePrefix="0" xfId="1">
      <alignment horizontal="center" vertical="center" wrapText="1"/>
    </xf>
    <xf numFmtId="166" fontId="12" fillId="3" borderId="7" applyAlignment="1" pivotButton="0" quotePrefix="0" xfId="3">
      <alignment horizontal="center" vertical="center" wrapText="1"/>
    </xf>
    <xf numFmtId="166" fontId="12" fillId="3" borderId="18" applyAlignment="1" pivotButton="0" quotePrefix="0" xfId="3">
      <alignment horizontal="center" vertical="center" wrapText="1"/>
    </xf>
    <xf numFmtId="174" fontId="57" fillId="3" borderId="8" applyAlignment="1" pivotButton="0" quotePrefix="0" xfId="35">
      <alignment horizontal="center" vertical="center" wrapText="1"/>
    </xf>
    <xf numFmtId="174" fontId="57" fillId="3" borderId="7" applyAlignment="1" pivotButton="0" quotePrefix="0" xfId="35">
      <alignment horizontal="center" vertical="center" wrapText="1"/>
    </xf>
    <xf numFmtId="174" fontId="57" fillId="3" borderId="4" applyAlignment="1" pivotButton="0" quotePrefix="0" xfId="35">
      <alignment horizontal="center" vertical="center" wrapText="1"/>
    </xf>
    <xf numFmtId="164" fontId="12" fillId="2" borderId="7" applyAlignment="1" pivotButton="0" quotePrefix="0" xfId="3">
      <alignment horizontal="center" vertical="center" wrapText="1"/>
    </xf>
    <xf numFmtId="164" fontId="12" fillId="2" borderId="4" applyAlignment="1" pivotButton="0" quotePrefix="0" xfId="3">
      <alignment horizontal="center" vertical="center" wrapText="1"/>
    </xf>
    <xf numFmtId="164" fontId="12" fillId="9" borderId="7" applyAlignment="1" pivotButton="0" quotePrefix="0" xfId="3">
      <alignment horizontal="center" vertical="center" wrapText="1"/>
    </xf>
    <xf numFmtId="164" fontId="12" fillId="9" borderId="4" applyAlignment="1" pivotButton="0" quotePrefix="0" xfId="3">
      <alignment horizontal="center" vertical="center" wrapText="1"/>
    </xf>
    <xf numFmtId="49" fontId="12" fillId="7" borderId="8" applyAlignment="1" pivotButton="0" quotePrefix="0" xfId="0">
      <alignment horizontal="center" vertical="center"/>
    </xf>
    <xf numFmtId="0" fontId="12" fillId="3" borderId="7" applyAlignment="1" pivotButton="0" quotePrefix="0" xfId="3">
      <alignment horizontal="center" vertical="center" wrapText="1"/>
    </xf>
    <xf numFmtId="0" fontId="12" fillId="3" borderId="18" applyAlignment="1" pivotButton="0" quotePrefix="0" xfId="3">
      <alignment horizontal="center" vertical="center" wrapText="1"/>
    </xf>
    <xf numFmtId="172" fontId="12" fillId="3" borderId="9" applyAlignment="1" pivotButton="0" quotePrefix="0" xfId="1">
      <alignment horizontal="center" vertical="center"/>
    </xf>
    <xf numFmtId="172" fontId="12" fillId="3" borderId="17" applyAlignment="1" pivotButton="0" quotePrefix="0" xfId="1">
      <alignment horizontal="center" vertical="center"/>
    </xf>
    <xf numFmtId="49" fontId="12" fillId="7" borderId="9" applyAlignment="1" pivotButton="0" quotePrefix="0" xfId="0">
      <alignment horizontal="center" vertical="center"/>
    </xf>
    <xf numFmtId="49" fontId="12" fillId="7" borderId="17" applyAlignment="1" pivotButton="0" quotePrefix="0" xfId="0">
      <alignment horizontal="center" vertical="center"/>
    </xf>
    <xf numFmtId="49" fontId="12" fillId="7" borderId="10" applyAlignment="1" pivotButton="0" quotePrefix="0" xfId="0">
      <alignment horizontal="center" vertical="center"/>
    </xf>
    <xf numFmtId="172" fontId="12" fillId="3" borderId="7" applyAlignment="1" pivotButton="0" quotePrefix="0" xfId="1">
      <alignment horizontal="center" vertical="center"/>
    </xf>
    <xf numFmtId="172" fontId="12" fillId="3" borderId="4" applyAlignment="1" pivotButton="0" quotePrefix="0" xfId="1">
      <alignment horizontal="center" vertical="center"/>
    </xf>
    <xf numFmtId="164" fontId="12" fillId="2" borderId="18" applyAlignment="1" pivotButton="0" quotePrefix="0" xfId="3">
      <alignment horizontal="center" vertical="center" wrapText="1"/>
    </xf>
    <xf numFmtId="0" fontId="8" fillId="0" borderId="2" applyAlignment="1" pivotButton="0" quotePrefix="0" xfId="3">
      <alignment horizontal="center"/>
    </xf>
    <xf numFmtId="49" fontId="17" fillId="3" borderId="8" applyAlignment="1" pivotButton="0" quotePrefix="0" xfId="3">
      <alignment horizontal="center" vertical="center" wrapText="1"/>
    </xf>
    <xf numFmtId="0" fontId="17" fillId="3" borderId="8" applyAlignment="1" pivotButton="0" quotePrefix="0" xfId="3">
      <alignment horizontal="center" vertical="center" wrapText="1"/>
    </xf>
    <xf numFmtId="0" fontId="17" fillId="3" borderId="7" applyAlignment="1" pivotButton="0" quotePrefix="0" xfId="3">
      <alignment horizontal="center" vertical="center" wrapText="1"/>
    </xf>
    <xf numFmtId="0" fontId="17" fillId="3" borderId="18" applyAlignment="1" pivotButton="0" quotePrefix="0" xfId="3">
      <alignment horizontal="center" vertical="center" wrapText="1"/>
    </xf>
    <xf numFmtId="0" fontId="17" fillId="3" borderId="4" applyAlignment="1" pivotButton="0" quotePrefix="0" xfId="3">
      <alignment horizontal="center" vertical="center" wrapText="1"/>
    </xf>
    <xf numFmtId="174" fontId="57" fillId="3" borderId="9" applyAlignment="1" pivotButton="0" quotePrefix="0" xfId="35">
      <alignment horizontal="center" vertical="center" wrapText="1"/>
    </xf>
    <xf numFmtId="174" fontId="57" fillId="3" borderId="17" applyAlignment="1" pivotButton="0" quotePrefix="0" xfId="35">
      <alignment horizontal="center" vertical="center" wrapText="1"/>
    </xf>
    <xf numFmtId="174" fontId="57" fillId="3" borderId="10" applyAlignment="1" pivotButton="0" quotePrefix="0" xfId="35">
      <alignment horizontal="center" vertical="center" wrapText="1"/>
    </xf>
    <xf numFmtId="0" fontId="12" fillId="3" borderId="8" applyAlignment="1" pivotButton="0" quotePrefix="0" xfId="3">
      <alignment horizontal="center" vertical="center" wrapText="1"/>
    </xf>
    <xf numFmtId="0" fontId="12" fillId="3" borderId="4" applyAlignment="1" pivotButton="0" quotePrefix="0" xfId="3">
      <alignment horizontal="center" vertical="center" wrapText="1"/>
    </xf>
    <xf numFmtId="164" fontId="12" fillId="2" borderId="8" applyAlignment="1" pivotButton="0" quotePrefix="0" xfId="3">
      <alignment horizontal="center" vertical="center" wrapText="1"/>
    </xf>
    <xf numFmtId="164" fontId="12" fillId="9" borderId="8" applyAlignment="1" pivotButton="0" quotePrefix="0" xfId="3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28" fillId="0" borderId="0" applyAlignment="1" pivotButton="0" quotePrefix="0" xfId="8">
      <alignment horizontal="center" vertical="center"/>
    </xf>
    <xf numFmtId="0" fontId="12" fillId="5" borderId="7" applyAlignment="1" pivotButton="0" quotePrefix="0" xfId="3">
      <alignment horizontal="center" vertical="center" wrapText="1"/>
    </xf>
    <xf numFmtId="0" fontId="12" fillId="5" borderId="4" applyAlignment="1" pivotButton="0" quotePrefix="0" xfId="3">
      <alignment horizontal="center" vertical="center" wrapText="1"/>
    </xf>
    <xf numFmtId="0" fontId="12" fillId="3" borderId="7" applyAlignment="1" applyProtection="1" pivotButton="0" quotePrefix="0" xfId="3">
      <alignment horizontal="center" vertical="center" wrapText="1"/>
      <protection locked="1" hidden="1"/>
    </xf>
    <xf numFmtId="0" fontId="12" fillId="3" borderId="4" applyAlignment="1" applyProtection="1" pivotButton="0" quotePrefix="0" xfId="3">
      <alignment horizontal="center" vertical="center" wrapText="1"/>
      <protection locked="1" hidden="1"/>
    </xf>
    <xf numFmtId="164" fontId="12" fillId="2" borderId="8" applyAlignment="1" applyProtection="1" pivotButton="0" quotePrefix="0" xfId="3">
      <alignment horizontal="center" vertical="center" wrapText="1"/>
      <protection locked="1" hidden="1"/>
    </xf>
    <xf numFmtId="0" fontId="12" fillId="8" borderId="8" applyAlignment="1" applyProtection="1" pivotButton="0" quotePrefix="0" xfId="3">
      <alignment horizontal="center" vertical="center" wrapText="1"/>
      <protection locked="1" hidden="1"/>
    </xf>
    <xf numFmtId="164" fontId="12" fillId="2" borderId="9" applyAlignment="1" applyProtection="1" pivotButton="0" quotePrefix="0" xfId="3">
      <alignment horizontal="center" vertical="center" wrapText="1"/>
      <protection locked="1" hidden="1"/>
    </xf>
    <xf numFmtId="164" fontId="12" fillId="2" borderId="10" applyAlignment="1" applyProtection="1" pivotButton="0" quotePrefix="0" xfId="3">
      <alignment horizontal="center" vertical="center" wrapText="1"/>
      <protection locked="1" hidden="1"/>
    </xf>
    <xf numFmtId="0" fontId="12" fillId="3" borderId="8" applyAlignment="1" applyProtection="1" pivotButton="0" quotePrefix="0" xfId="3">
      <alignment horizontal="center" vertical="center" wrapText="1"/>
      <protection locked="1" hidden="1"/>
    </xf>
    <xf numFmtId="0" fontId="12" fillId="3" borderId="8" applyAlignment="1" pivotButton="0" quotePrefix="0" xfId="3">
      <alignment horizontal="center" vertical="center"/>
    </xf>
    <xf numFmtId="0" fontId="78" fillId="0" borderId="31" applyAlignment="1" pivotButton="0" quotePrefix="0" xfId="0">
      <alignment horizontal="center" vertical="center"/>
    </xf>
    <xf numFmtId="0" fontId="87" fillId="20" borderId="32" applyAlignment="1" pivotButton="0" quotePrefix="0" xfId="0">
      <alignment horizontal="center" vertical="center" wrapText="1"/>
    </xf>
    <xf numFmtId="0" fontId="87" fillId="20" borderId="34" applyAlignment="1" pivotButton="0" quotePrefix="0" xfId="0">
      <alignment horizontal="center" vertical="center" wrapText="1"/>
    </xf>
    <xf numFmtId="0" fontId="87" fillId="20" borderId="36" applyAlignment="1" pivotButton="0" quotePrefix="0" xfId="0">
      <alignment horizontal="center" vertical="center" wrapText="1"/>
    </xf>
    <xf numFmtId="0" fontId="73" fillId="17" borderId="9" applyAlignment="1" pivotButton="0" quotePrefix="0" xfId="29">
      <alignment horizontal="center" vertical="center" wrapText="1"/>
    </xf>
    <xf numFmtId="0" fontId="73" fillId="17" borderId="9" applyAlignment="1" pivotButton="0" quotePrefix="0" xfId="29">
      <alignment horizontal="center" vertical="center"/>
    </xf>
    <xf numFmtId="169" fontId="73" fillId="17" borderId="8" applyAlignment="1" pivotButton="0" quotePrefix="0" xfId="32">
      <alignment horizontal="center" vertical="center" wrapText="1"/>
    </xf>
    <xf numFmtId="0" fontId="73" fillId="17" borderId="8" applyAlignment="1" pivotButton="0" quotePrefix="0" xfId="29">
      <alignment horizontal="center" vertical="center" wrapText="1"/>
    </xf>
    <xf numFmtId="0" fontId="73" fillId="17" borderId="8" applyAlignment="1" pivotButton="0" quotePrefix="0" xfId="29">
      <alignment horizontal="center" vertical="center"/>
    </xf>
    <xf numFmtId="0" fontId="73" fillId="17" borderId="22" applyAlignment="1" pivotButton="0" quotePrefix="0" xfId="29">
      <alignment horizontal="center" vertical="center"/>
    </xf>
    <xf numFmtId="0" fontId="69" fillId="0" borderId="0" applyAlignment="1" pivotButton="0" quotePrefix="0" xfId="27">
      <alignment horizontal="center" vertical="center"/>
    </xf>
    <xf numFmtId="0" fontId="69" fillId="0" borderId="0" applyAlignment="1" pivotButton="0" quotePrefix="0" xfId="29">
      <alignment horizontal="center" vertical="center"/>
    </xf>
    <xf numFmtId="0" fontId="72" fillId="0" borderId="0" applyAlignment="1" pivotButton="0" quotePrefix="0" xfId="29">
      <alignment horizontal="center" vertical="center"/>
    </xf>
    <xf numFmtId="169" fontId="69" fillId="17" borderId="8" applyAlignment="1" pivotButton="0" quotePrefix="0" xfId="32">
      <alignment horizontal="center" vertical="center"/>
    </xf>
    <xf numFmtId="169" fontId="69" fillId="17" borderId="9" applyAlignment="1" pivotButton="0" quotePrefix="0" xfId="32">
      <alignment horizontal="center" vertical="center"/>
    </xf>
    <xf numFmtId="169" fontId="69" fillId="17" borderId="7" applyAlignment="1" pivotButton="0" quotePrefix="0" xfId="32">
      <alignment horizontal="center" vertical="center"/>
    </xf>
    <xf numFmtId="169" fontId="69" fillId="17" borderId="18" applyAlignment="1" pivotButton="0" quotePrefix="0" xfId="32">
      <alignment horizontal="center" vertical="center"/>
    </xf>
    <xf numFmtId="169" fontId="69" fillId="17" borderId="4" applyAlignment="1" pivotButton="0" quotePrefix="0" xfId="32">
      <alignment horizontal="center" vertical="center"/>
    </xf>
    <xf numFmtId="0" fontId="73" fillId="17" borderId="21" applyAlignment="1" pivotButton="0" quotePrefix="0" xfId="29">
      <alignment horizontal="center" vertical="center"/>
    </xf>
    <xf numFmtId="0" fontId="73" fillId="17" borderId="23" applyAlignment="1" pivotButton="0" quotePrefix="0" xfId="29">
      <alignment horizontal="center" vertical="center"/>
    </xf>
    <xf numFmtId="0" fontId="16" fillId="0" borderId="0" applyAlignment="1" pivotButton="0" quotePrefix="0" xfId="0">
      <alignment horizontal="center"/>
    </xf>
    <xf numFmtId="0" fontId="12" fillId="3" borderId="7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12" fillId="3" borderId="7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168" fontId="12" fillId="3" borderId="7" applyAlignment="1" pivotButton="0" quotePrefix="0" xfId="35">
      <alignment horizontal="center" vertical="center" wrapText="1"/>
    </xf>
    <xf numFmtId="168" fontId="12" fillId="3" borderId="4" applyAlignment="1" pivotButton="0" quotePrefix="0" xfId="35">
      <alignment horizontal="center" vertical="center" wrapText="1"/>
    </xf>
    <xf numFmtId="169" fontId="12" fillId="3" borderId="7" applyAlignment="1" pivotButton="0" quotePrefix="0" xfId="35">
      <alignment horizontal="center" vertical="center" wrapText="1"/>
    </xf>
    <xf numFmtId="169" fontId="12" fillId="3" borderId="4" applyAlignment="1" pivotButton="0" quotePrefix="0" xfId="35">
      <alignment horizontal="center" vertical="center" wrapText="1"/>
    </xf>
    <xf numFmtId="0" fontId="12" fillId="2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3" borderId="8" applyAlignment="1" pivotButton="0" quotePrefix="0" xfId="35">
      <alignment horizontal="center" vertical="center" wrapText="1"/>
    </xf>
    <xf numFmtId="166" fontId="12" fillId="3" borderId="9" applyAlignment="1" pivotButton="0" quotePrefix="0" xfId="3">
      <alignment horizontal="center" vertical="center" wrapText="1"/>
    </xf>
    <xf numFmtId="166" fontId="12" fillId="3" borderId="17" applyAlignment="1" pivotButton="0" quotePrefix="0" xfId="3">
      <alignment horizontal="center" vertical="center" wrapText="1"/>
    </xf>
    <xf numFmtId="166" fontId="12" fillId="3" borderId="10" applyAlignment="1" pivotButton="0" quotePrefix="0" xfId="3">
      <alignment horizontal="center" vertical="center" wrapText="1"/>
    </xf>
    <xf numFmtId="168" fontId="5" fillId="0" borderId="0" pivotButton="0" quotePrefix="0" xfId="35"/>
    <xf numFmtId="169" fontId="5" fillId="0" borderId="0" pivotButton="0" quotePrefix="0" xfId="35"/>
    <xf numFmtId="168" fontId="5" fillId="0" borderId="1" pivotButton="0" quotePrefix="0" xfId="35"/>
    <xf numFmtId="169" fontId="5" fillId="0" borderId="1" pivotButton="0" quotePrefix="0" xfId="35"/>
    <xf numFmtId="166" fontId="30" fillId="0" borderId="4" applyAlignment="1" applyProtection="1" pivotButton="0" quotePrefix="0" xfId="4">
      <alignment horizontal="center" vertical="center"/>
      <protection locked="0" hidden="0"/>
    </xf>
    <xf numFmtId="166" fontId="30" fillId="0" borderId="4" applyAlignment="1" pivotButton="0" quotePrefix="0" xfId="3">
      <alignment horizontal="center"/>
    </xf>
    <xf numFmtId="166" fontId="30" fillId="0" borderId="5" applyAlignment="1" pivotButton="0" quotePrefix="0" xfId="3">
      <alignment horizontal="center"/>
    </xf>
    <xf numFmtId="0" fontId="0" fillId="0" borderId="39" pivotButton="0" quotePrefix="0" xfId="0"/>
    <xf numFmtId="0" fontId="12" fillId="2" borderId="40" applyAlignment="1" pivotButton="0" quotePrefix="0" xfId="0">
      <alignment horizontal="center" vertical="center"/>
    </xf>
    <xf numFmtId="0" fontId="12" fillId="0" borderId="4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4" pivotButton="0" quotePrefix="0" xfId="0"/>
    <xf numFmtId="0" fontId="0" fillId="0" borderId="42" pivotButton="0" quotePrefix="0" xfId="0"/>
    <xf numFmtId="167" fontId="36" fillId="0" borderId="13" applyAlignment="1" pivotButton="0" quotePrefix="0" xfId="0">
      <alignment horizontal="right"/>
    </xf>
    <xf numFmtId="171" fontId="11" fillId="0" borderId="13" pivotButton="0" quotePrefix="0" xfId="0"/>
    <xf numFmtId="167" fontId="18" fillId="0" borderId="13" applyAlignment="1" pivotButton="0" quotePrefix="0" xfId="0">
      <alignment horizontal="right"/>
    </xf>
    <xf numFmtId="167" fontId="36" fillId="0" borderId="0" applyAlignment="1" pivotButton="0" quotePrefix="0" xfId="0">
      <alignment horizontal="left"/>
    </xf>
    <xf numFmtId="171" fontId="11" fillId="0" borderId="0" pivotButton="0" quotePrefix="0" xfId="0"/>
    <xf numFmtId="167" fontId="36" fillId="0" borderId="0" applyAlignment="1" pivotButton="0" quotePrefix="0" xfId="0">
      <alignment horizontal="right"/>
    </xf>
    <xf numFmtId="172" fontId="11" fillId="0" borderId="0" pivotButton="0" quotePrefix="0" xfId="1"/>
    <xf numFmtId="171" fontId="18" fillId="2" borderId="0" pivotButton="0" quotePrefix="0" xfId="0"/>
    <xf numFmtId="171" fontId="18" fillId="0" borderId="0" pivotButton="0" quotePrefix="0" xfId="0"/>
    <xf numFmtId="169" fontId="5" fillId="2" borderId="0" pivotButton="0" quotePrefix="0" xfId="35"/>
    <xf numFmtId="168" fontId="13" fillId="0" borderId="0" pivotButton="0" quotePrefix="0" xfId="35"/>
    <xf numFmtId="169" fontId="13" fillId="0" borderId="0" applyAlignment="1" pivotButton="0" quotePrefix="0" xfId="35">
      <alignment horizontal="right"/>
    </xf>
    <xf numFmtId="169" fontId="51" fillId="0" borderId="0" applyAlignment="1" pivotButton="0" quotePrefix="0" xfId="35">
      <alignment horizontal="left"/>
    </xf>
    <xf numFmtId="0" fontId="12" fillId="3" borderId="40" applyAlignment="1" pivotButton="0" quotePrefix="0" xfId="0">
      <alignment horizontal="center" vertical="center"/>
    </xf>
    <xf numFmtId="0" fontId="12" fillId="3" borderId="40" applyAlignment="1" pivotButton="0" quotePrefix="0" xfId="0">
      <alignment horizontal="center" vertical="center" wrapText="1"/>
    </xf>
    <xf numFmtId="168" fontId="12" fillId="3" borderId="40" applyAlignment="1" pivotButton="0" quotePrefix="0" xfId="35">
      <alignment horizontal="center" vertical="center" wrapText="1"/>
    </xf>
    <xf numFmtId="169" fontId="12" fillId="3" borderId="40" applyAlignment="1" pivotButton="0" quotePrefix="0" xfId="35">
      <alignment horizontal="center" vertical="center" wrapText="1"/>
    </xf>
    <xf numFmtId="169" fontId="12" fillId="7" borderId="18" applyAlignment="1" pivotButton="0" quotePrefix="0" xfId="35">
      <alignment horizontal="center" vertical="center" wrapText="1"/>
    </xf>
    <xf numFmtId="168" fontId="12" fillId="7" borderId="18" applyAlignment="1" pivotButton="0" quotePrefix="0" xfId="35">
      <alignment horizontal="center" vertical="center" wrapText="1"/>
    </xf>
    <xf numFmtId="167" fontId="11" fillId="0" borderId="11" applyAlignment="1" pivotButton="0" quotePrefix="0" xfId="0">
      <alignment horizontal="center" vertical="center" wrapText="1"/>
    </xf>
    <xf numFmtId="167" fontId="11" fillId="0" borderId="11" applyAlignment="1" pivotButton="0" quotePrefix="0" xfId="0">
      <alignment horizontal="left" vertical="center" wrapText="1"/>
    </xf>
    <xf numFmtId="167" fontId="11" fillId="0" borderId="11" applyAlignment="1" pivotButton="0" quotePrefix="0" xfId="0">
      <alignment horizontal="center" vertical="center"/>
    </xf>
    <xf numFmtId="167" fontId="11" fillId="0" borderId="11" applyAlignment="1" pivotButton="0" quotePrefix="0" xfId="35">
      <alignment horizontal="center" vertical="center"/>
    </xf>
    <xf numFmtId="167" fontId="11" fillId="0" borderId="11" applyAlignment="1" pivotButton="0" quotePrefix="0" xfId="35">
      <alignment horizontal="left" vertical="center"/>
    </xf>
    <xf numFmtId="167" fontId="13" fillId="4" borderId="13" applyAlignment="1" pivotButton="0" quotePrefix="0" xfId="0">
      <alignment horizontal="center" vertical="center"/>
    </xf>
    <xf numFmtId="167" fontId="13" fillId="4" borderId="13" applyAlignment="1" pivotButton="0" quotePrefix="0" xfId="0">
      <alignment horizontal="left" vertical="center"/>
    </xf>
    <xf numFmtId="167" fontId="13" fillId="4" borderId="13" applyAlignment="1" pivotButton="0" quotePrefix="0" xfId="35">
      <alignment horizontal="center" vertical="center"/>
    </xf>
    <xf numFmtId="167" fontId="13" fillId="4" borderId="13" applyAlignment="1" pivotButton="0" quotePrefix="0" xfId="35">
      <alignment horizontal="left" vertical="center"/>
    </xf>
    <xf numFmtId="167" fontId="13" fillId="4" borderId="13" applyAlignment="1" pivotButton="0" quotePrefix="0" xfId="35">
      <alignment horizontal="left" vertical="center" wrapText="1"/>
    </xf>
    <xf numFmtId="167" fontId="13" fillId="5" borderId="13" applyAlignment="1" pivotButton="0" quotePrefix="0" xfId="0">
      <alignment horizontal="center" vertical="center" wrapText="1"/>
    </xf>
    <xf numFmtId="167" fontId="13" fillId="5" borderId="13" applyAlignment="1" pivotButton="0" quotePrefix="0" xfId="0">
      <alignment horizontal="left" vertical="center" wrapText="1"/>
    </xf>
    <xf numFmtId="167" fontId="13" fillId="5" borderId="13" applyAlignment="1" pivotButton="0" quotePrefix="0" xfId="0">
      <alignment horizontal="center" vertical="center"/>
    </xf>
    <xf numFmtId="167" fontId="13" fillId="5" borderId="13" applyAlignment="1" pivotButton="0" quotePrefix="0" xfId="35">
      <alignment horizontal="center" vertical="center" wrapText="1"/>
    </xf>
    <xf numFmtId="167" fontId="13" fillId="5" borderId="13" applyAlignment="1" pivotButton="0" quotePrefix="0" xfId="35">
      <alignment horizontal="left" vertical="center" wrapText="1"/>
    </xf>
    <xf numFmtId="167" fontId="11" fillId="0" borderId="12" applyAlignment="1" pivotButton="0" quotePrefix="0" xfId="0">
      <alignment horizontal="center" vertical="center" wrapText="1"/>
    </xf>
    <xf numFmtId="167" fontId="11" fillId="0" borderId="12" applyAlignment="1" pivotButton="0" quotePrefix="0" xfId="0">
      <alignment horizontal="left" vertical="center" wrapText="1"/>
    </xf>
    <xf numFmtId="167" fontId="11" fillId="0" borderId="13" applyAlignment="1" pivotButton="0" quotePrefix="0" xfId="0">
      <alignment horizontal="center" vertical="center" wrapText="1"/>
    </xf>
    <xf numFmtId="167" fontId="11" fillId="0" borderId="13" applyAlignment="1" pivotButton="0" quotePrefix="0" xfId="35">
      <alignment horizontal="center" vertical="center" wrapText="1"/>
    </xf>
    <xf numFmtId="167" fontId="11" fillId="0" borderId="13" applyAlignment="1" pivotButton="0" quotePrefix="0" xfId="35">
      <alignment horizontal="left" vertical="center" wrapText="1"/>
    </xf>
    <xf numFmtId="167" fontId="11" fillId="0" borderId="13" applyAlignment="1" pivotButton="0" quotePrefix="0" xfId="0">
      <alignment horizontal="center" vertical="center"/>
    </xf>
    <xf numFmtId="167" fontId="11" fillId="0" borderId="13" applyAlignment="1" pivotButton="0" quotePrefix="0" xfId="0">
      <alignment horizontal="left" vertical="center" wrapText="1"/>
    </xf>
    <xf numFmtId="167" fontId="11" fillId="0" borderId="13" applyAlignment="1" pivotButton="0" quotePrefix="0" xfId="35">
      <alignment horizontal="left" vertical="center"/>
    </xf>
    <xf numFmtId="167" fontId="13" fillId="0" borderId="13" applyAlignment="1" pivotButton="0" quotePrefix="0" xfId="0">
      <alignment horizontal="center" vertical="center"/>
    </xf>
    <xf numFmtId="167" fontId="13" fillId="0" borderId="13" applyAlignment="1" pivotButton="0" quotePrefix="0" xfId="0">
      <alignment horizontal="left" vertical="center"/>
    </xf>
    <xf numFmtId="167" fontId="13" fillId="0" borderId="13" applyAlignment="1" pivotButton="0" quotePrefix="0" xfId="35">
      <alignment horizontal="center" vertical="center"/>
    </xf>
    <xf numFmtId="167" fontId="13" fillId="0" borderId="13" applyAlignment="1" pivotButton="0" quotePrefix="0" xfId="35">
      <alignment horizontal="left" vertical="center"/>
    </xf>
    <xf numFmtId="167" fontId="13" fillId="0" borderId="13" applyAlignment="1" pivotButton="0" quotePrefix="0" xfId="35">
      <alignment horizontal="left" vertical="center" wrapText="1"/>
    </xf>
    <xf numFmtId="167" fontId="18" fillId="4" borderId="13" applyAlignment="1" pivotButton="0" quotePrefix="0" xfId="35">
      <alignment horizontal="left" vertical="center"/>
    </xf>
    <xf numFmtId="167" fontId="11" fillId="0" borderId="14" applyAlignment="1" pivotButton="0" quotePrefix="0" xfId="0">
      <alignment horizontal="center" vertical="center"/>
    </xf>
    <xf numFmtId="167" fontId="11" fillId="0" borderId="14" applyAlignment="1" pivotButton="0" quotePrefix="0" xfId="0">
      <alignment horizontal="left" vertical="center"/>
    </xf>
    <xf numFmtId="167" fontId="11" fillId="0" borderId="14" applyAlignment="1" pivotButton="0" quotePrefix="0" xfId="35">
      <alignment horizontal="center" vertical="center"/>
    </xf>
    <xf numFmtId="167" fontId="11" fillId="0" borderId="14" applyAlignment="1" pivotButton="0" quotePrefix="0" xfId="35">
      <alignment horizontal="left" vertical="center"/>
    </xf>
    <xf numFmtId="168" fontId="11" fillId="0" borderId="0" pivotButton="0" quotePrefix="0" xfId="35"/>
    <xf numFmtId="169" fontId="11" fillId="0" borderId="0" pivotButton="0" quotePrefix="0" xfId="35"/>
    <xf numFmtId="165" fontId="5" fillId="0" borderId="0" pivotButton="0" quotePrefix="0" xfId="3"/>
    <xf numFmtId="166" fontId="5" fillId="0" borderId="0" pivotButton="0" quotePrefix="0" xfId="3"/>
    <xf numFmtId="166" fontId="5" fillId="0" borderId="0" applyAlignment="1" pivotButton="0" quotePrefix="0" xfId="3">
      <alignment horizontal="center"/>
    </xf>
    <xf numFmtId="164" fontId="5" fillId="0" borderId="0" applyAlignment="1" pivotButton="0" quotePrefix="0" xfId="3">
      <alignment vertical="center"/>
    </xf>
    <xf numFmtId="164" fontId="5" fillId="0" borderId="0" pivotButton="0" quotePrefix="0" xfId="3"/>
    <xf numFmtId="164" fontId="5" fillId="0" borderId="1" applyAlignment="1" pivotButton="0" quotePrefix="0" xfId="3">
      <alignment vertical="center"/>
    </xf>
    <xf numFmtId="164" fontId="5" fillId="0" borderId="1" pivotButton="0" quotePrefix="0" xfId="3"/>
    <xf numFmtId="165" fontId="5" fillId="0" borderId="1" pivotButton="0" quotePrefix="0" xfId="3"/>
    <xf numFmtId="166" fontId="5" fillId="0" borderId="1" pivotButton="0" quotePrefix="0" xfId="3"/>
    <xf numFmtId="0" fontId="0" fillId="0" borderId="2" pivotButton="0" quotePrefix="0" xfId="0"/>
    <xf numFmtId="165" fontId="35" fillId="0" borderId="0" applyAlignment="1" applyProtection="1" pivotButton="0" quotePrefix="0" xfId="0">
      <alignment vertical="center"/>
      <protection locked="0" hidden="0"/>
    </xf>
    <xf numFmtId="166" fontId="35" fillId="0" borderId="0" applyAlignment="1" applyProtection="1" pivotButton="0" quotePrefix="0" xfId="0">
      <alignment vertical="center"/>
      <protection locked="0" hidden="0"/>
    </xf>
    <xf numFmtId="169" fontId="56" fillId="0" borderId="0" applyAlignment="1" pivotButton="0" quotePrefix="0" xfId="35">
      <alignment horizontal="left"/>
    </xf>
    <xf numFmtId="166" fontId="13" fillId="0" borderId="8" applyAlignment="1" applyProtection="1" pivotButton="0" quotePrefix="0" xfId="4">
      <alignment horizontal="center" vertical="center"/>
      <protection locked="0" hidden="0"/>
    </xf>
    <xf numFmtId="165" fontId="13" fillId="0" borderId="8" applyAlignment="1" applyProtection="1" pivotButton="0" quotePrefix="0" xfId="4">
      <alignment horizontal="center" vertical="center"/>
      <protection locked="0" hidden="0"/>
    </xf>
    <xf numFmtId="165" fontId="13" fillId="23" borderId="8" applyAlignment="1" applyProtection="1" pivotButton="0" quotePrefix="0" xfId="4">
      <alignment horizontal="center" vertical="center"/>
      <protection locked="0" hidden="0"/>
    </xf>
    <xf numFmtId="165" fontId="13" fillId="23" borderId="8" applyAlignment="1" applyProtection="1" pivotButton="0" quotePrefix="0" xfId="4">
      <alignment horizontal="center" vertical="center" wrapText="1"/>
      <protection locked="0" hidden="0"/>
    </xf>
    <xf numFmtId="165" fontId="13" fillId="18" borderId="8" applyAlignment="1" applyProtection="1" pivotButton="0" quotePrefix="0" xfId="4">
      <alignment horizontal="center" vertical="center"/>
      <protection locked="0" hidden="0"/>
    </xf>
    <xf numFmtId="166" fontId="30" fillId="0" borderId="4" applyAlignment="1" pivotButton="0" quotePrefix="0" xfId="3">
      <alignment horizontal="center" vertical="center"/>
    </xf>
    <xf numFmtId="168" fontId="31" fillId="15" borderId="6" applyAlignment="1" pivotButton="0" quotePrefix="0" xfId="35">
      <alignment horizontal="center" vertical="center"/>
    </xf>
    <xf numFmtId="168" fontId="31" fillId="0" borderId="6" applyAlignment="1" pivotButton="0" quotePrefix="0" xfId="35">
      <alignment horizontal="right" vertical="center"/>
    </xf>
    <xf numFmtId="174" fontId="31" fillId="17" borderId="6" applyAlignment="1" pivotButton="0" quotePrefix="0" xfId="35">
      <alignment vertical="center"/>
    </xf>
    <xf numFmtId="168" fontId="31" fillId="0" borderId="6" applyAlignment="1" pivotButton="0" quotePrefix="0" xfId="35">
      <alignment horizontal="center" vertical="center"/>
    </xf>
    <xf numFmtId="168" fontId="31" fillId="0" borderId="6" applyAlignment="1" pivotButton="0" quotePrefix="0" xfId="35">
      <alignment horizontal="center"/>
    </xf>
    <xf numFmtId="0" fontId="17" fillId="3" borderId="40" applyAlignment="1" pivotButton="0" quotePrefix="0" xfId="3">
      <alignment horizontal="center" vertical="center" wrapText="1"/>
    </xf>
    <xf numFmtId="174" fontId="57" fillId="3" borderId="43" applyAlignment="1" pivotButton="0" quotePrefix="0" xfId="35">
      <alignment horizontal="center" vertical="center" wrapText="1"/>
    </xf>
    <xf numFmtId="0" fontId="0" fillId="0" borderId="55" pivotButton="0" quotePrefix="0" xfId="0"/>
    <xf numFmtId="0" fontId="12" fillId="3" borderId="40" applyAlignment="1" pivotButton="0" quotePrefix="0" xfId="3">
      <alignment horizontal="center" vertical="center" wrapText="1"/>
    </xf>
    <xf numFmtId="164" fontId="12" fillId="2" borderId="8" applyAlignment="1" pivotButton="0" quotePrefix="0" xfId="3">
      <alignment horizontal="center" vertical="center" wrapText="1"/>
    </xf>
    <xf numFmtId="164" fontId="12" fillId="9" borderId="8" applyAlignment="1" pivotButton="0" quotePrefix="0" xfId="3">
      <alignment horizontal="center" vertical="center" wrapText="1"/>
    </xf>
    <xf numFmtId="164" fontId="12" fillId="2" borderId="40" applyAlignment="1" pivotButton="0" quotePrefix="0" xfId="3">
      <alignment horizontal="center" vertical="center" wrapText="1"/>
    </xf>
    <xf numFmtId="0" fontId="0" fillId="0" borderId="17" pivotButton="0" quotePrefix="0" xfId="0"/>
    <xf numFmtId="172" fontId="12" fillId="3" borderId="9" applyAlignment="1" pivotButton="0" quotePrefix="0" xfId="1">
      <alignment horizontal="center" vertical="center"/>
    </xf>
    <xf numFmtId="172" fontId="17" fillId="3" borderId="8" applyAlignment="1" pivotButton="0" quotePrefix="0" xfId="1">
      <alignment horizontal="center" vertical="center" wrapText="1"/>
    </xf>
    <xf numFmtId="166" fontId="12" fillId="3" borderId="7" applyAlignment="1" pivotButton="0" quotePrefix="0" xfId="3">
      <alignment horizontal="center" vertical="center" wrapText="1"/>
    </xf>
    <xf numFmtId="0" fontId="0" fillId="0" borderId="47" pivotButton="0" quotePrefix="0" xfId="0"/>
    <xf numFmtId="0" fontId="0" fillId="0" borderId="18" pivotButton="0" quotePrefix="0" xfId="0"/>
    <xf numFmtId="174" fontId="57" fillId="3" borderId="8" applyAlignment="1" pivotButton="0" quotePrefix="0" xfId="35">
      <alignment horizontal="center" vertical="center" wrapText="1"/>
    </xf>
    <xf numFmtId="174" fontId="57" fillId="3" borderId="40" applyAlignment="1" pivotButton="0" quotePrefix="0" xfId="35">
      <alignment horizontal="center" vertical="center" wrapText="1"/>
    </xf>
    <xf numFmtId="164" fontId="12" fillId="9" borderId="40" applyAlignment="1" pivotButton="0" quotePrefix="0" xfId="3">
      <alignment horizontal="center" vertical="center" wrapText="1"/>
    </xf>
    <xf numFmtId="49" fontId="12" fillId="7" borderId="43" applyAlignment="1" pivotButton="0" quotePrefix="0" xfId="0">
      <alignment horizontal="center" vertical="center"/>
    </xf>
    <xf numFmtId="172" fontId="12" fillId="3" borderId="40" applyAlignment="1" pivotButton="0" quotePrefix="0" xfId="1">
      <alignment horizontal="center" vertical="center"/>
    </xf>
    <xf numFmtId="169" fontId="58" fillId="3" borderId="8" applyAlignment="1" pivotButton="0" quotePrefix="0" xfId="0">
      <alignment horizontal="center" vertical="center" wrapText="1"/>
    </xf>
    <xf numFmtId="0" fontId="0" fillId="0" borderId="54" pivotButton="0" quotePrefix="0" xfId="0"/>
    <xf numFmtId="167" fontId="17" fillId="16" borderId="13" applyAlignment="1" pivotButton="0" quotePrefix="0" xfId="0">
      <alignment horizontal="center" vertical="center" wrapText="1"/>
    </xf>
    <xf numFmtId="167" fontId="62" fillId="16" borderId="13" applyAlignment="1" pivotButton="0" quotePrefix="0" xfId="0">
      <alignment horizontal="center" vertical="center"/>
    </xf>
    <xf numFmtId="174" fontId="17" fillId="16" borderId="13" applyAlignment="1" pivotButton="0" quotePrefix="0" xfId="35">
      <alignment horizontal="center" vertical="center" wrapText="1"/>
    </xf>
    <xf numFmtId="167" fontId="59" fillId="16" borderId="13" applyAlignment="1" pivotButton="0" quotePrefix="0" xfId="0">
      <alignment horizontal="center"/>
    </xf>
    <xf numFmtId="167" fontId="63" fillId="16" borderId="13" applyAlignment="1" pivotButton="0" quotePrefix="0" xfId="0">
      <alignment vertical="center"/>
    </xf>
    <xf numFmtId="167" fontId="63" fillId="16" borderId="13" applyAlignment="1" pivotButton="0" quotePrefix="0" xfId="0">
      <alignment horizontal="left" vertical="center" wrapText="1"/>
    </xf>
    <xf numFmtId="167" fontId="63" fillId="16" borderId="13" applyAlignment="1" pivotButton="0" quotePrefix="0" xfId="0">
      <alignment horizontal="center" vertical="center" wrapText="1"/>
    </xf>
    <xf numFmtId="167" fontId="59" fillId="16" borderId="13" applyAlignment="1" pivotButton="0" quotePrefix="0" xfId="0">
      <alignment horizontal="center" vertical="center" wrapText="1"/>
    </xf>
    <xf numFmtId="167" fontId="62" fillId="0" borderId="13" applyAlignment="1" pivotButton="0" quotePrefix="0" xfId="0">
      <alignment horizontal="left" wrapText="1"/>
    </xf>
    <xf numFmtId="167" fontId="63" fillId="16" borderId="13" applyAlignment="1" pivotButton="0" quotePrefix="0" xfId="35">
      <alignment vertical="center"/>
    </xf>
    <xf numFmtId="167" fontId="63" fillId="16" borderId="13" applyAlignment="1" pivotButton="0" quotePrefix="0" xfId="35">
      <alignment horizontal="center" vertical="center"/>
    </xf>
    <xf numFmtId="167" fontId="17" fillId="5" borderId="13" applyAlignment="1" pivotButton="0" quotePrefix="0" xfId="0">
      <alignment horizontal="center" vertical="center" wrapText="1"/>
    </xf>
    <xf numFmtId="167" fontId="62" fillId="5" borderId="13" applyAlignment="1" pivotButton="0" quotePrefix="0" xfId="0">
      <alignment horizontal="center" vertical="center"/>
    </xf>
    <xf numFmtId="174" fontId="17" fillId="5" borderId="13" applyAlignment="1" pivotButton="0" quotePrefix="0" xfId="35">
      <alignment horizontal="center" vertical="center" wrapText="1"/>
    </xf>
    <xf numFmtId="167" fontId="59" fillId="5" borderId="13" applyAlignment="1" pivotButton="0" quotePrefix="0" xfId="0">
      <alignment horizontal="center"/>
    </xf>
    <xf numFmtId="167" fontId="63" fillId="5" borderId="13" applyAlignment="1" pivotButton="0" quotePrefix="0" xfId="0">
      <alignment vertical="center"/>
    </xf>
    <xf numFmtId="167" fontId="63" fillId="5" borderId="13" applyAlignment="1" pivotButton="0" quotePrefix="0" xfId="0">
      <alignment horizontal="left" vertical="center" wrapText="1"/>
    </xf>
    <xf numFmtId="167" fontId="63" fillId="5" borderId="13" applyAlignment="1" pivotButton="0" quotePrefix="0" xfId="0">
      <alignment horizontal="center" vertical="center" wrapText="1"/>
    </xf>
    <xf numFmtId="167" fontId="59" fillId="5" borderId="13" applyAlignment="1" pivotButton="0" quotePrefix="0" xfId="0">
      <alignment horizontal="center" vertical="center" wrapText="1"/>
    </xf>
    <xf numFmtId="167" fontId="63" fillId="5" borderId="13" applyAlignment="1" pivotButton="0" quotePrefix="0" xfId="35">
      <alignment vertical="center"/>
    </xf>
    <xf numFmtId="167" fontId="63" fillId="5" borderId="13" applyAlignment="1" pivotButton="0" quotePrefix="0" xfId="35">
      <alignment horizontal="center" vertical="center"/>
    </xf>
    <xf numFmtId="167" fontId="17" fillId="15" borderId="13" applyAlignment="1" pivotButton="0" quotePrefix="0" xfId="0">
      <alignment horizontal="center" vertical="center" wrapText="1"/>
    </xf>
    <xf numFmtId="167" fontId="62" fillId="15" borderId="13" applyAlignment="1" pivotButton="0" quotePrefix="0" xfId="0">
      <alignment horizontal="center" vertical="center"/>
    </xf>
    <xf numFmtId="174" fontId="17" fillId="15" borderId="13" applyAlignment="1" pivotButton="0" quotePrefix="0" xfId="35">
      <alignment horizontal="center" vertical="center" wrapText="1"/>
    </xf>
    <xf numFmtId="167" fontId="59" fillId="15" borderId="13" applyAlignment="1" pivotButton="0" quotePrefix="0" xfId="0">
      <alignment horizontal="center"/>
    </xf>
    <xf numFmtId="167" fontId="63" fillId="15" borderId="13" applyAlignment="1" pivotButton="0" quotePrefix="0" xfId="0">
      <alignment vertical="center"/>
    </xf>
    <xf numFmtId="167" fontId="63" fillId="15" borderId="13" applyAlignment="1" pivotButton="0" quotePrefix="0" xfId="0">
      <alignment horizontal="left" vertical="center" wrapText="1"/>
    </xf>
    <xf numFmtId="167" fontId="63" fillId="15" borderId="13" applyAlignment="1" pivotButton="0" quotePrefix="0" xfId="0">
      <alignment horizontal="center" vertical="center" wrapText="1"/>
    </xf>
    <xf numFmtId="167" fontId="59" fillId="15" borderId="13" applyAlignment="1" pivotButton="0" quotePrefix="0" xfId="0">
      <alignment horizontal="center" vertical="center" wrapText="1"/>
    </xf>
    <xf numFmtId="167" fontId="63" fillId="15" borderId="13" applyAlignment="1" pivotButton="0" quotePrefix="0" xfId="35">
      <alignment vertical="center"/>
    </xf>
    <xf numFmtId="167" fontId="63" fillId="15" borderId="13" applyAlignment="1" pivotButton="0" quotePrefix="0" xfId="35">
      <alignment horizontal="center" vertical="center"/>
    </xf>
    <xf numFmtId="167" fontId="5" fillId="0" borderId="13" applyAlignment="1" pivotButton="0" quotePrefix="0" xfId="0">
      <alignment horizontal="center" vertical="center" wrapText="1"/>
    </xf>
    <xf numFmtId="167" fontId="62" fillId="0" borderId="13" applyAlignment="1" pivotButton="0" quotePrefix="0" xfId="0">
      <alignment horizontal="center" vertical="center"/>
    </xf>
    <xf numFmtId="174" fontId="5" fillId="0" borderId="13" applyAlignment="1" pivotButton="0" quotePrefix="0" xfId="35">
      <alignment horizontal="center" vertical="center" wrapText="1"/>
    </xf>
    <xf numFmtId="167" fontId="59" fillId="0" borderId="13" applyAlignment="1" pivotButton="0" quotePrefix="0" xfId="0">
      <alignment horizontal="center"/>
    </xf>
    <xf numFmtId="167" fontId="61" fillId="0" borderId="13" applyAlignment="1" pivotButton="0" quotePrefix="0" xfId="0">
      <alignment vertical="center"/>
    </xf>
    <xf numFmtId="167" fontId="61" fillId="0" borderId="13" applyAlignment="1" pivotButton="0" quotePrefix="0" xfId="0">
      <alignment horizontal="left" vertical="center" wrapText="1"/>
    </xf>
    <xf numFmtId="167" fontId="61" fillId="0" borderId="13" applyAlignment="1" pivotButton="0" quotePrefix="0" xfId="0">
      <alignment horizontal="center" vertical="center" wrapText="1"/>
    </xf>
    <xf numFmtId="167" fontId="62" fillId="0" borderId="13" applyAlignment="1" pivotButton="0" quotePrefix="0" xfId="0">
      <alignment horizontal="center" vertical="center" wrapText="1"/>
    </xf>
    <xf numFmtId="167" fontId="61" fillId="0" borderId="13" applyAlignment="1" pivotButton="0" quotePrefix="0" xfId="35">
      <alignment vertical="center"/>
    </xf>
    <xf numFmtId="167" fontId="61" fillId="0" borderId="13" applyAlignment="1" pivotButton="0" quotePrefix="0" xfId="35">
      <alignment horizontal="center" vertical="center"/>
    </xf>
    <xf numFmtId="167" fontId="64" fillId="0" borderId="13" applyAlignment="1" pivotButton="0" quotePrefix="0" xfId="0">
      <alignment horizontal="center" vertical="center" wrapText="1"/>
    </xf>
    <xf numFmtId="174" fontId="64" fillId="0" borderId="13" applyAlignment="1" pivotButton="0" quotePrefix="0" xfId="35">
      <alignment horizontal="center" vertical="center" wrapText="1"/>
    </xf>
    <xf numFmtId="167" fontId="61" fillId="17" borderId="13" applyAlignment="1" pivotButton="0" quotePrefix="0" xfId="35">
      <alignment vertical="center"/>
    </xf>
    <xf numFmtId="167" fontId="17" fillId="16" borderId="8" applyAlignment="1" pivotButton="0" quotePrefix="0" xfId="0">
      <alignment horizontal="center" vertical="center" wrapText="1"/>
    </xf>
  </cellXfs>
  <cellStyles count="36">
    <cellStyle name="Normal" xfId="0" builtinId="0"/>
    <cellStyle name="Comma [0]" xfId="1"/>
    <cellStyle name="Chuẩn 2 3" xfId="2"/>
    <cellStyle name="Bình thường 2" xfId="3"/>
    <cellStyle name="Dấu_phảy 3" xfId="4"/>
    <cellStyle name="Dấu_phảy 2" xfId="5"/>
    <cellStyle name="Bình thường 3" xfId="6"/>
    <cellStyle name="Bình thường 3 2" xfId="7"/>
    <cellStyle name="Chuẩn 3" xfId="8"/>
    <cellStyle name="Normal_Sheet1" xfId="9"/>
    <cellStyle name="Normal 2 10" xfId="10"/>
    <cellStyle name="표준_OasisTower-71212-sub" xfId="11"/>
    <cellStyle name="Dấu phẩy 3" xfId="12"/>
    <cellStyle name="Dấu phảy [0] 3" xfId="13"/>
    <cellStyle name="Dấu phẩy 2" xfId="14"/>
    <cellStyle name="Dấu phảy [0] 2" xfId="15"/>
    <cellStyle name="Chuẩn 2" xfId="16"/>
    <cellStyle name="Percent 29" xfId="17"/>
    <cellStyle name="Normal 2 2 2" xfId="18"/>
    <cellStyle name="Normal 2 2 5" xfId="19"/>
    <cellStyle name="Dấu phẩy 4" xfId="20"/>
    <cellStyle name="Normal 5 2 2" xfId="21"/>
    <cellStyle name="Normal 2 2 5 3 2" xfId="22"/>
    <cellStyle name="Normal 2 2 5 2" xfId="23"/>
    <cellStyle name="Bình thường 6" xfId="24"/>
    <cellStyle name="Dấu phẩy 8" xfId="25"/>
    <cellStyle name="Comma 2" xfId="26"/>
    <cellStyle name="Normal 2 2 16 2 3 2 2" xfId="27"/>
    <cellStyle name="Normal_sitework - thermal" xfId="28"/>
    <cellStyle name="Normal 3 2 2" xfId="29"/>
    <cellStyle name="Normal 5 3" xfId="30"/>
    <cellStyle name="Normal 10 4" xfId="31"/>
    <cellStyle name="Dấu phẩy 6" xfId="32"/>
    <cellStyle name="Normal 2 2 2 2" xfId="33"/>
    <cellStyle name="Normal 5 2" xfId="34"/>
    <cellStyle name="Comma" xfId="35"/>
  </cellStyles>
  <dxfs count="23">
    <dxf>
      <font>
        <condense val="0"/>
        <color indexed="9"/>
        <extend val="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66675</colOff>
      <row>0</row>
      <rowOff>57150</rowOff>
    </from>
    <to>
      <col>1</col>
      <colOff>477625</colOff>
      <row>3</row>
      <rowOff>168089</rowOff>
    </to>
    <pic>
      <nvPicPr>
        <cNvPr id="4" name="Hình ảnh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675" y="57150"/>
          <a:ext cx="839575" cy="7681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78439</colOff>
      <row>0</row>
      <rowOff>33617</rowOff>
    </from>
    <to>
      <col>1</col>
      <colOff>626661</colOff>
      <row>3</row>
      <rowOff>140634</rowOff>
    </to>
    <pic>
      <nvPicPr>
        <cNvPr id="2" name="Hình ảnh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439" y="33617"/>
          <a:ext cx="883502" cy="7547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Trang_tính4">
    <tabColor rgb="FFFF0000"/>
    <outlinePr summaryBelow="1" summaryRight="1"/>
    <pageSetUpPr fitToPage="1"/>
  </sheetPr>
  <dimension ref="A1:H66"/>
  <sheetViews>
    <sheetView view="pageBreakPreview" zoomScale="68" zoomScaleNormal="100" zoomScaleSheetLayoutView="68" workbookViewId="0">
      <pane xSplit="8" ySplit="37" topLeftCell="K38" activePane="bottomRight" state="frozen"/>
      <selection pane="bottomRight" activeCell="E46" sqref="E46"/>
      <selection pane="bottomLeft" activeCell="A38" sqref="A38"/>
      <selection pane="topRight" activeCell="I1" sqref="I1"/>
    </sheetView>
  </sheetViews>
  <sheetFormatPr baseColWidth="8" defaultColWidth="9.125" defaultRowHeight="15" outlineLevelRow="1"/>
  <cols>
    <col width="6.375" customWidth="1" style="27" min="1" max="1"/>
    <col width="45.375" customWidth="1" style="26" min="2" max="2"/>
    <col width="8.375" customWidth="1" style="27" min="3" max="3"/>
    <col width="9.125" customWidth="1" style="754" min="4" max="4"/>
    <col outlineLevel="1" width="17.375" customWidth="1" style="755" min="5" max="6"/>
    <col width="18.125" customWidth="1" style="755" min="7" max="7"/>
    <col width="21.125" customWidth="1" style="755" min="8" max="8"/>
    <col width="9.125" customWidth="1" style="65" min="9" max="16384"/>
  </cols>
  <sheetData>
    <row r="1" ht="20.25" customHeight="1">
      <c r="A1" s="1" t="n"/>
      <c r="H1" s="283" t="inlineStr">
        <is>
          <t>CÔNG TY CỔ PHẦN TẬP ĐOÀN TDI</t>
        </is>
      </c>
    </row>
    <row r="2" ht="16.5" customHeight="1">
      <c r="A2" s="7" t="n"/>
      <c r="H2" s="284" t="inlineStr">
        <is>
          <t xml:space="preserve">   TDI GROUP JOINT STOCK COMPANY</t>
        </is>
      </c>
    </row>
    <row r="3">
      <c r="A3" s="8" t="n"/>
      <c r="H3" s="285" t="inlineStr">
        <is>
          <t>A16-NV6, ô số 10, KĐT mới đường Lê Trọng Tấn, An Khánh, Hoài Đức, HN</t>
        </is>
      </c>
    </row>
    <row r="4" ht="15.75" customHeight="1" thickBot="1">
      <c r="A4" s="9" t="n"/>
      <c r="B4" s="30" t="n"/>
      <c r="C4" s="31" t="n"/>
      <c r="D4" s="756" t="n"/>
      <c r="E4" s="757" t="n"/>
      <c r="F4" s="757" t="n"/>
      <c r="G4" s="757" t="n"/>
      <c r="H4" s="286" t="inlineStr">
        <is>
          <t>Tel: (024) 7308.6632 - info@tdigroup.vn - www.tdigroup.vn</t>
        </is>
      </c>
    </row>
    <row r="5" ht="10.5" customHeight="1" thickTop="1">
      <c r="A5" s="8" t="n"/>
    </row>
    <row r="6" ht="30" customHeight="1">
      <c r="A6" s="735" t="inlineStr">
        <is>
          <t>BẢNG TỔNG HỢP DỰ TOÁN</t>
        </is>
      </c>
    </row>
    <row r="7" hidden="1" outlineLevel="1">
      <c r="A7" s="34" t="n"/>
      <c r="B7" s="66" t="inlineStr">
        <is>
          <t>HSKL</t>
        </is>
      </c>
      <c r="C7" s="67" t="inlineStr">
        <is>
          <t>HSVL</t>
        </is>
      </c>
      <c r="D7" s="758" t="inlineStr">
        <is>
          <t>HCTB</t>
        </is>
      </c>
      <c r="E7" s="759" t="inlineStr">
        <is>
          <t>HSNC</t>
        </is>
      </c>
      <c r="F7" s="759" t="inlineStr">
        <is>
          <t>HS chung</t>
        </is>
      </c>
      <c r="G7" s="760" t="inlineStr">
        <is>
          <t>LÀM TRÒN</t>
        </is>
      </c>
    </row>
    <row r="8" hidden="1" outlineLevel="1">
      <c r="A8" s="34" t="n"/>
      <c r="B8" s="71" t="n">
        <v>1</v>
      </c>
      <c r="C8" s="161" t="n">
        <v>1.25</v>
      </c>
      <c r="D8" s="161" t="n">
        <v>1.1</v>
      </c>
      <c r="E8" s="161" t="n">
        <v>1.15</v>
      </c>
      <c r="F8" s="161" t="n">
        <v>1</v>
      </c>
      <c r="G8" s="161" t="n">
        <v>-2</v>
      </c>
    </row>
    <row r="9" hidden="1" outlineLevel="1" ht="14.1" customHeight="1">
      <c r="A9" s="34" t="n"/>
      <c r="B9" s="744" t="inlineStr">
        <is>
          <t>Loại VL</t>
        </is>
      </c>
      <c r="C9" s="745" t="inlineStr">
        <is>
          <t>Hệ số</t>
        </is>
      </c>
      <c r="D9" s="761" t="n"/>
      <c r="E9" s="762" t="inlineStr">
        <is>
          <t>Loại VL</t>
        </is>
      </c>
      <c r="F9" s="763" t="inlineStr">
        <is>
          <t>Hệ số</t>
        </is>
      </c>
      <c r="G9" s="764" t="n"/>
    </row>
    <row r="10" hidden="1" outlineLevel="1" ht="14.1" customHeight="1">
      <c r="A10" s="34" t="n"/>
      <c r="B10" s="765" t="n"/>
      <c r="C10" s="745" t="inlineStr">
        <is>
          <t>VL</t>
        </is>
      </c>
      <c r="D10" s="745" t="inlineStr">
        <is>
          <t>NC</t>
        </is>
      </c>
      <c r="E10" s="766" t="n"/>
      <c r="F10" s="745" t="inlineStr">
        <is>
          <t>VL</t>
        </is>
      </c>
      <c r="G10" s="745" t="inlineStr">
        <is>
          <t>NC</t>
        </is>
      </c>
    </row>
    <row r="11" hidden="1" outlineLevel="1">
      <c r="A11" s="34" t="n"/>
      <c r="B11" s="767" t="inlineStr">
        <is>
          <t>Cáp điện</t>
        </is>
      </c>
      <c r="C11" s="768" t="n">
        <v>1</v>
      </c>
      <c r="D11" s="768" t="n">
        <v>1</v>
      </c>
      <c r="E11" s="767" t="inlineStr">
        <is>
          <t>PK Ống PVC</t>
        </is>
      </c>
      <c r="F11" s="768" t="n">
        <v>1</v>
      </c>
      <c r="G11" s="768" t="n">
        <v>1</v>
      </c>
    </row>
    <row r="12" hidden="1" outlineLevel="1">
      <c r="A12" s="34" t="n"/>
      <c r="B12" s="767" t="inlineStr">
        <is>
          <t>Ống luồn dây</t>
        </is>
      </c>
      <c r="C12" s="768" t="n">
        <v>1</v>
      </c>
      <c r="D12" s="768" t="n">
        <v>1</v>
      </c>
      <c r="E12" s="767" t="inlineStr">
        <is>
          <t>Ống PVC</t>
        </is>
      </c>
      <c r="F12" s="768" t="n">
        <v>1</v>
      </c>
      <c r="G12" s="768" t="n">
        <v>1</v>
      </c>
    </row>
    <row r="13" hidden="1" outlineLevel="1">
      <c r="A13" s="34" t="n"/>
      <c r="B13" s="767" t="inlineStr">
        <is>
          <t>Thang cáp</t>
        </is>
      </c>
      <c r="C13" s="768" t="n">
        <v>1</v>
      </c>
      <c r="D13" s="768" t="n">
        <v>1</v>
      </c>
      <c r="E13" s="767" t="inlineStr">
        <is>
          <t>Ống PPR</t>
        </is>
      </c>
      <c r="F13" s="768" t="n">
        <v>1</v>
      </c>
      <c r="G13" s="768" t="n">
        <v>1</v>
      </c>
    </row>
    <row r="14" hidden="1" outlineLevel="1">
      <c r="A14" s="34" t="n"/>
      <c r="B14" s="767" t="inlineStr">
        <is>
          <t>Phụ kiện T.cáp</t>
        </is>
      </c>
      <c r="C14" s="768" t="n">
        <v>1</v>
      </c>
      <c r="D14" s="768" t="n">
        <v>1</v>
      </c>
      <c r="E14" s="767" t="inlineStr">
        <is>
          <t>PK Ống PPR</t>
        </is>
      </c>
      <c r="F14" s="768" t="n">
        <v>1</v>
      </c>
      <c r="G14" s="768" t="n">
        <v>1</v>
      </c>
    </row>
    <row r="15" hidden="1" outlineLevel="1">
      <c r="A15" s="34" t="n"/>
      <c r="B15" s="767" t="inlineStr">
        <is>
          <t>Máng cáp</t>
        </is>
      </c>
      <c r="C15" s="768" t="n">
        <v>1</v>
      </c>
      <c r="D15" s="768" t="n">
        <v>1</v>
      </c>
      <c r="E15" s="767" t="inlineStr">
        <is>
          <t>Ống HDPE</t>
        </is>
      </c>
      <c r="F15" s="768" t="n">
        <v>1</v>
      </c>
      <c r="G15" s="768" t="n">
        <v>1</v>
      </c>
    </row>
    <row r="16" hidden="1" outlineLevel="1">
      <c r="A16" s="34" t="n"/>
      <c r="B16" s="767" t="inlineStr">
        <is>
          <t>Phụ kiện M.cáp</t>
        </is>
      </c>
      <c r="C16" s="768" t="n">
        <v>1</v>
      </c>
      <c r="D16" s="768" t="n">
        <v>1</v>
      </c>
      <c r="E16" s="767" t="inlineStr">
        <is>
          <t>PK HDPE</t>
        </is>
      </c>
      <c r="F16" s="768" t="n">
        <v>1</v>
      </c>
      <c r="G16" s="768" t="n">
        <v>1</v>
      </c>
    </row>
    <row r="17" hidden="1" outlineLevel="1">
      <c r="A17" s="34" t="n"/>
      <c r="B17" s="767" t="inlineStr">
        <is>
          <t>Ống thép</t>
        </is>
      </c>
      <c r="C17" s="768" t="n">
        <v>1</v>
      </c>
      <c r="D17" s="768" t="n">
        <v>1</v>
      </c>
      <c r="E17" s="767" t="inlineStr">
        <is>
          <t>Ống gió</t>
        </is>
      </c>
      <c r="F17" s="768" t="n">
        <v>1</v>
      </c>
      <c r="G17" s="768" t="n">
        <v>1</v>
      </c>
    </row>
    <row r="18" hidden="1" outlineLevel="1">
      <c r="A18" s="34" t="n"/>
      <c r="B18" s="767" t="inlineStr">
        <is>
          <t>PK ống thép</t>
        </is>
      </c>
      <c r="C18" s="768" t="n">
        <v>1</v>
      </c>
      <c r="D18" s="768" t="n">
        <v>1</v>
      </c>
      <c r="E18" s="767" t="inlineStr">
        <is>
          <t>PK Ống gió</t>
        </is>
      </c>
      <c r="F18" s="768" t="n">
        <v>1</v>
      </c>
      <c r="G18" s="768" t="n">
        <v>1</v>
      </c>
    </row>
    <row r="19" hidden="1" outlineLevel="1">
      <c r="A19" s="34" t="n"/>
      <c r="B19" s="767" t="inlineStr">
        <is>
          <t>Van Khóa Thép</t>
        </is>
      </c>
      <c r="C19" s="768" t="n">
        <v>1</v>
      </c>
      <c r="D19" s="768" t="n">
        <v>1</v>
      </c>
      <c r="E19" s="767" t="inlineStr">
        <is>
          <t>Cửa gió</t>
        </is>
      </c>
      <c r="F19" s="768" t="n">
        <v>1</v>
      </c>
      <c r="G19" s="768" t="n">
        <v>1</v>
      </c>
    </row>
    <row r="20" hidden="1" outlineLevel="1">
      <c r="A20" s="34" t="n"/>
      <c r="B20" s="767" t="inlineStr">
        <is>
          <t>Công tác khác</t>
        </is>
      </c>
      <c r="C20" s="768" t="n">
        <v>1</v>
      </c>
      <c r="D20" s="768" t="n">
        <v>1</v>
      </c>
      <c r="E20" s="767" t="inlineStr">
        <is>
          <t>Van gió</t>
        </is>
      </c>
      <c r="F20" s="768" t="n">
        <v>1</v>
      </c>
      <c r="G20" s="768" t="n">
        <v>1</v>
      </c>
    </row>
    <row r="21" hidden="1" outlineLevel="1">
      <c r="A21" s="34" t="n"/>
      <c r="B21" s="767" t="inlineStr">
        <is>
          <t>Ống đồng</t>
        </is>
      </c>
      <c r="C21" s="768" t="n">
        <v>1</v>
      </c>
      <c r="D21" s="768" t="n">
        <v>1</v>
      </c>
      <c r="E21" s="767" t="inlineStr">
        <is>
          <t>Bảo ôn</t>
        </is>
      </c>
      <c r="F21" s="768" t="n">
        <v>1</v>
      </c>
      <c r="G21" s="768" t="n">
        <v>1</v>
      </c>
    </row>
    <row r="22" hidden="1" outlineLevel="1">
      <c r="A22" s="34" t="n"/>
      <c r="B22" s="769" t="inlineStr">
        <is>
          <t>Thiết bị Điện</t>
        </is>
      </c>
      <c r="C22" s="768" t="n">
        <v>1</v>
      </c>
      <c r="D22" s="768" t="n">
        <v>1</v>
      </c>
      <c r="E22" s="769" t="inlineStr">
        <is>
          <t>Quạt thông gió</t>
        </is>
      </c>
      <c r="F22" s="768" t="n">
        <v>1</v>
      </c>
      <c r="G22" s="768" t="n">
        <v>1</v>
      </c>
    </row>
    <row r="23" hidden="1" outlineLevel="1">
      <c r="A23" s="34" t="n"/>
      <c r="B23" s="769" t="inlineStr">
        <is>
          <t>Thiết bị Vệ Sinh</t>
        </is>
      </c>
      <c r="C23" s="768" t="n">
        <v>1</v>
      </c>
      <c r="D23" s="768" t="n">
        <v>1</v>
      </c>
      <c r="E23" s="769" t="inlineStr">
        <is>
          <t>Thiết bị  chữa cháy</t>
        </is>
      </c>
      <c r="F23" s="768" t="n">
        <v>1</v>
      </c>
      <c r="G23" s="768" t="n">
        <v>1</v>
      </c>
    </row>
    <row r="24" hidden="1" outlineLevel="1">
      <c r="A24" s="34" t="n"/>
      <c r="B24" s="769" t="inlineStr">
        <is>
          <t>Điều Hoà</t>
        </is>
      </c>
      <c r="C24" s="768" t="n">
        <v>1</v>
      </c>
      <c r="D24" s="768" t="n">
        <v>1</v>
      </c>
      <c r="E24" s="769" t="inlineStr">
        <is>
          <t>Thiết bị báo cháy</t>
        </is>
      </c>
      <c r="F24" s="768" t="n">
        <v>1</v>
      </c>
      <c r="G24" s="768" t="n">
        <v>1</v>
      </c>
    </row>
    <row r="25" hidden="1" outlineLevel="1">
      <c r="A25" s="34" t="n"/>
      <c r="B25" s="770" t="n"/>
      <c r="C25" s="771" t="n"/>
      <c r="D25" s="771" t="n"/>
      <c r="E25" s="772" t="inlineStr">
        <is>
          <t>Hầm (2 hầm)</t>
        </is>
      </c>
      <c r="F25" s="773">
        <f>4690*2</f>
        <v/>
      </c>
      <c r="G25" s="774" t="inlineStr">
        <is>
          <t>Tổn diện tích</t>
        </is>
      </c>
      <c r="H25" s="755">
        <f>SUM(F25:F30)</f>
        <v/>
      </c>
    </row>
    <row r="26" hidden="1" outlineLevel="1">
      <c r="A26" s="34" t="n"/>
      <c r="B26" s="772" t="n"/>
      <c r="C26" s="771" t="n"/>
      <c r="D26" s="771" t="n"/>
      <c r="E26" s="772" t="inlineStr">
        <is>
          <t>TTTM 1-3 (3 tâng)</t>
        </is>
      </c>
      <c r="F26" s="773">
        <f>2520*3</f>
        <v/>
      </c>
      <c r="G26" s="774" t="inlineStr">
        <is>
          <t>Đơn giá/m2</t>
        </is>
      </c>
      <c r="H26" s="755">
        <f>G57/H25</f>
        <v/>
      </c>
    </row>
    <row r="27" hidden="1" outlineLevel="1">
      <c r="A27" s="34" t="n"/>
      <c r="B27" s="772" t="n"/>
      <c r="C27" s="771" t="n"/>
      <c r="D27" s="771" t="n"/>
      <c r="E27" s="772" t="inlineStr">
        <is>
          <t>KS 4-8 (5 tầng)</t>
        </is>
      </c>
      <c r="F27" s="773">
        <f>2220*5</f>
        <v/>
      </c>
      <c r="G27" s="775" t="inlineStr">
        <is>
          <t>Vật tư/m2</t>
        </is>
      </c>
      <c r="H27" s="755">
        <f>SUBTOTAL(9,E39:E50)/H25</f>
        <v/>
      </c>
    </row>
    <row r="28" hidden="1" outlineLevel="1">
      <c r="A28" s="34" t="n"/>
      <c r="B28" s="772" t="n"/>
      <c r="C28" s="771" t="n"/>
      <c r="D28" s="771" t="n"/>
      <c r="E28" s="772" t="inlineStr">
        <is>
          <t>CT1 9-25 (17 tầng)</t>
        </is>
      </c>
      <c r="F28" s="773">
        <f>1080*17</f>
        <v/>
      </c>
      <c r="G28" s="775" t="inlineStr">
        <is>
          <t>Nhân công/m2</t>
        </is>
      </c>
      <c r="H28" s="776">
        <f>SUBTOTAL(9,F39:F50)/H25</f>
        <v/>
      </c>
    </row>
    <row r="29" hidden="1" outlineLevel="1">
      <c r="A29" s="34" t="n"/>
      <c r="B29" s="772" t="n"/>
      <c r="C29" s="771" t="n"/>
      <c r="D29" s="771" t="n"/>
      <c r="E29" s="772" t="inlineStr">
        <is>
          <t>CT2 9-25 (17 tầng)</t>
        </is>
      </c>
      <c r="F29" s="773">
        <f>1020*17</f>
        <v/>
      </c>
      <c r="G29" s="771" t="n"/>
    </row>
    <row r="30" hidden="1" outlineLevel="1">
      <c r="A30" s="34" t="n"/>
      <c r="B30" s="772" t="n"/>
      <c r="C30" s="771" t="n"/>
      <c r="D30" s="771" t="n"/>
      <c r="E30" s="772" t="inlineStr">
        <is>
          <t>Mái + sần vườn</t>
        </is>
      </c>
      <c r="F30" s="773">
        <f>600+250+285</f>
        <v/>
      </c>
      <c r="G30" s="771" t="n"/>
    </row>
    <row r="31" hidden="1" outlineLevel="1">
      <c r="A31" s="34" t="n"/>
      <c r="B31" s="772" t="n"/>
      <c r="C31" s="771" t="n"/>
      <c r="D31" s="771" t="n"/>
      <c r="E31" s="772" t="n"/>
      <c r="F31" s="771" t="n"/>
      <c r="G31" s="771" t="n"/>
    </row>
    <row r="32" collapsed="1">
      <c r="A32" s="35" t="inlineStr">
        <is>
          <t>Dự án: TGC (CT07) - Nhà ở chung cư &amp; kết hợp thương mại</t>
        </is>
      </c>
      <c r="B32" s="36" t="n"/>
      <c r="C32" s="37" t="n"/>
      <c r="D32" s="777" t="n"/>
      <c r="E32" s="772" t="n"/>
      <c r="G32" s="778" t="inlineStr">
        <is>
          <t>Số:</t>
        </is>
      </c>
      <c r="H32" s="779" t="inlineStr">
        <is>
          <t>BG/TDI-PDT/TDI23417</t>
        </is>
      </c>
    </row>
    <row r="33">
      <c r="A33" s="76" t="inlineStr">
        <is>
          <t>Hạng mục: Cung cấp &amp; lắp đặt hệ thống cơ điện</t>
        </is>
      </c>
      <c r="B33" s="36" t="n"/>
      <c r="C33" s="37" t="n"/>
      <c r="D33" s="777" t="n"/>
      <c r="G33" s="778" t="inlineStr">
        <is>
          <t>Ngày:</t>
        </is>
      </c>
      <c r="H33" s="261">
        <f>TODAY()</f>
        <v/>
      </c>
    </row>
    <row r="34" ht="17.25" customHeight="1">
      <c r="A34" s="780" t="inlineStr">
        <is>
          <t>STT</t>
        </is>
      </c>
      <c r="B34" s="780" t="inlineStr">
        <is>
          <t>Hạng Mục Công Việc</t>
        </is>
      </c>
      <c r="C34" s="781" t="inlineStr">
        <is>
          <t>Đơn Vị</t>
        </is>
      </c>
      <c r="D34" s="782" t="inlineStr">
        <is>
          <t>KL</t>
        </is>
      </c>
      <c r="E34" s="750" t="inlineStr">
        <is>
          <t>Đơn Giá</t>
        </is>
      </c>
      <c r="F34" s="761" t="n"/>
      <c r="G34" s="783" t="inlineStr">
        <is>
          <t>Thành Tiền</t>
        </is>
      </c>
      <c r="H34" s="783" t="inlineStr">
        <is>
          <t>Ghi Chú</t>
        </is>
      </c>
    </row>
    <row r="35" ht="17.25" customHeight="1">
      <c r="A35" s="766" t="n"/>
      <c r="B35" s="766" t="n"/>
      <c r="C35" s="766" t="n"/>
      <c r="D35" s="766" t="n"/>
      <c r="E35" s="750" t="inlineStr">
        <is>
          <t>Vật Tư</t>
        </is>
      </c>
      <c r="F35" s="750" t="inlineStr">
        <is>
          <t>Nhân Công</t>
        </is>
      </c>
      <c r="G35" s="766" t="n"/>
      <c r="H35" s="766" t="n"/>
    </row>
    <row r="36" ht="17.25" customHeight="1">
      <c r="A36" s="149" t="n"/>
      <c r="B36" s="784" t="n"/>
      <c r="C36" s="150" t="n"/>
      <c r="D36" s="785" t="n"/>
      <c r="E36" s="784" t="n"/>
      <c r="F36" s="784" t="n"/>
      <c r="G36" s="784" t="n"/>
      <c r="H36" s="784" t="n"/>
    </row>
    <row r="37">
      <c r="A37" s="786" t="n"/>
      <c r="B37" s="787" t="n"/>
      <c r="C37" s="788" t="n"/>
      <c r="D37" s="789" t="n"/>
      <c r="E37" s="790" t="n"/>
      <c r="F37" s="790" t="n"/>
      <c r="G37" s="790" t="n"/>
      <c r="H37" s="790" t="n"/>
    </row>
    <row r="38">
      <c r="A38" s="791" t="n"/>
      <c r="B38" s="792" t="inlineStr">
        <is>
          <t>CHI PHÍ TRỰC TIẾP</t>
        </is>
      </c>
      <c r="C38" s="791" t="n"/>
      <c r="D38" s="793" t="n"/>
      <c r="E38" s="794" t="n"/>
      <c r="F38" s="794" t="n"/>
      <c r="G38" s="794">
        <f>SUM(G39,G45)</f>
        <v/>
      </c>
      <c r="H38" s="795" t="n"/>
    </row>
    <row r="39">
      <c r="A39" s="796" t="inlineStr">
        <is>
          <t>A</t>
        </is>
      </c>
      <c r="B39" s="797" t="inlineStr">
        <is>
          <t>SERVICE</t>
        </is>
      </c>
      <c r="C39" s="798" t="inlineStr">
        <is>
          <t>Hệ</t>
        </is>
      </c>
      <c r="D39" s="799" t="n">
        <v>1</v>
      </c>
      <c r="E39" s="800">
        <f>+'B2_SERVICE '!AZ1759</f>
        <v/>
      </c>
      <c r="F39" s="800">
        <f>+'B2_SERVICE '!BA1759</f>
        <v/>
      </c>
      <c r="G39" s="800">
        <f>+'B2_SERVICE '!BB1759</f>
        <v/>
      </c>
      <c r="H39" s="800" t="n"/>
    </row>
    <row r="40" outlineLevel="1">
      <c r="A40" s="801" t="n"/>
      <c r="B40" s="802" t="n"/>
      <c r="C40" s="803" t="n"/>
      <c r="D40" s="804" t="n"/>
      <c r="E40" s="802" t="n"/>
      <c r="F40" s="802" t="n"/>
      <c r="G40" s="802" t="n"/>
      <c r="H40" s="805" t="n"/>
    </row>
    <row r="41" outlineLevel="1">
      <c r="A41" s="801" t="n"/>
      <c r="B41" s="802" t="n"/>
      <c r="C41" s="803" t="n"/>
      <c r="D41" s="804" t="n"/>
      <c r="E41" s="802" t="n"/>
      <c r="F41" s="802" t="n"/>
      <c r="G41" s="802" t="n"/>
      <c r="H41" s="805" t="n"/>
    </row>
    <row r="42" outlineLevel="1">
      <c r="A42" s="801" t="n"/>
      <c r="B42" s="802" t="n"/>
      <c r="C42" s="803" t="n"/>
      <c r="D42" s="804" t="n"/>
      <c r="E42" s="802" t="n"/>
      <c r="F42" s="802" t="n"/>
      <c r="G42" s="802" t="n"/>
      <c r="H42" s="805" t="n"/>
    </row>
    <row r="43" outlineLevel="1">
      <c r="A43" s="801" t="n"/>
      <c r="B43" s="802" t="n"/>
      <c r="C43" s="803" t="n"/>
      <c r="D43" s="804" t="n"/>
      <c r="E43" s="802" t="n"/>
      <c r="F43" s="802" t="n"/>
      <c r="G43" s="802" t="n"/>
      <c r="H43" s="805" t="n"/>
    </row>
    <row r="44" outlineLevel="1">
      <c r="A44" s="801" t="n"/>
      <c r="B44" s="802" t="n"/>
      <c r="C44" s="803" t="n"/>
      <c r="D44" s="804" t="n"/>
      <c r="E44" s="802" t="n"/>
      <c r="F44" s="802" t="n"/>
      <c r="G44" s="802" t="n"/>
      <c r="H44" s="805" t="n"/>
    </row>
    <row r="45">
      <c r="A45" s="796" t="inlineStr">
        <is>
          <t>B</t>
        </is>
      </c>
      <c r="B45" s="797" t="inlineStr">
        <is>
          <t>FITTING</t>
        </is>
      </c>
      <c r="C45" s="798" t="inlineStr">
        <is>
          <t>Hệ</t>
        </is>
      </c>
      <c r="D45" s="799" t="n">
        <v>1</v>
      </c>
      <c r="E45" s="800">
        <f>+B3_Fittings!AZ323</f>
        <v/>
      </c>
      <c r="F45" s="800">
        <f>+B3_Fittings!BA323</f>
        <v/>
      </c>
      <c r="G45" s="800">
        <f>+B3_Fittings!BB323</f>
        <v/>
      </c>
      <c r="H45" s="800" t="n"/>
    </row>
    <row r="46" outlineLevel="1">
      <c r="A46" s="801" t="n"/>
      <c r="B46" s="802" t="n"/>
      <c r="C46" s="803" t="n"/>
      <c r="D46" s="804" t="n"/>
      <c r="E46" s="802" t="n"/>
      <c r="F46" s="802" t="n"/>
      <c r="G46" s="802" t="n"/>
      <c r="H46" s="805" t="n"/>
    </row>
    <row r="47" outlineLevel="1">
      <c r="A47" s="801" t="n"/>
      <c r="B47" s="802" t="n"/>
      <c r="C47" s="803" t="n"/>
      <c r="D47" s="804" t="n"/>
      <c r="E47" s="802" t="n"/>
      <c r="F47" s="802" t="n"/>
      <c r="G47" s="802" t="n"/>
      <c r="H47" s="805" t="n"/>
    </row>
    <row r="48" outlineLevel="1">
      <c r="A48" s="801" t="n"/>
      <c r="B48" s="802" t="n"/>
      <c r="C48" s="803" t="n"/>
      <c r="D48" s="804" t="n"/>
      <c r="E48" s="802" t="n"/>
      <c r="F48" s="802" t="n"/>
      <c r="G48" s="802" t="n"/>
      <c r="H48" s="805" t="n"/>
    </row>
    <row r="49" outlineLevel="1">
      <c r="A49" s="801" t="n"/>
      <c r="B49" s="802" t="n"/>
      <c r="C49" s="803" t="n"/>
      <c r="D49" s="804" t="n"/>
      <c r="E49" s="802" t="n"/>
      <c r="F49" s="802" t="n"/>
      <c r="G49" s="802" t="n"/>
      <c r="H49" s="805" t="n"/>
    </row>
    <row r="50" outlineLevel="1">
      <c r="A50" s="801" t="n"/>
      <c r="B50" s="802" t="n"/>
      <c r="C50" s="803" t="n"/>
      <c r="D50" s="804" t="n"/>
      <c r="E50" s="802" t="n"/>
      <c r="F50" s="802" t="n"/>
      <c r="G50" s="802" t="n"/>
      <c r="H50" s="805" t="n"/>
    </row>
    <row r="51">
      <c r="A51" s="791" t="n"/>
      <c r="B51" s="792" t="inlineStr">
        <is>
          <t>CHI PHÍ GIÁN TIẾP</t>
        </is>
      </c>
      <c r="C51" s="791" t="n"/>
      <c r="D51" s="793" t="n"/>
      <c r="E51" s="794" t="n"/>
      <c r="F51" s="794" t="n"/>
      <c r="G51" s="794">
        <f>SUBTOTAL(9,G52:G56)</f>
        <v/>
      </c>
      <c r="H51" s="795" t="n"/>
    </row>
    <row r="52">
      <c r="A52" s="806" t="n"/>
      <c r="B52" s="807" t="inlineStr">
        <is>
          <t>Chi Phí Văn Phòng, Kho Bãi,…</t>
        </is>
      </c>
      <c r="C52" s="806" t="inlineStr">
        <is>
          <t>Lot</t>
        </is>
      </c>
      <c r="D52" s="148" t="n">
        <v>0.01</v>
      </c>
      <c r="E52" s="148" t="n"/>
      <c r="F52" s="148" t="n"/>
      <c r="G52" s="808">
        <f>$G$38*D52</f>
        <v/>
      </c>
      <c r="H52" s="805" t="n"/>
    </row>
    <row r="53">
      <c r="A53" s="806" t="n"/>
      <c r="B53" s="807" t="inlineStr">
        <is>
          <t>Chi phí Quảng Lý Gián Tiếp</t>
        </is>
      </c>
      <c r="C53" s="806" t="inlineStr">
        <is>
          <t>Lot</t>
        </is>
      </c>
      <c r="D53" s="148" t="n">
        <v>0.035</v>
      </c>
      <c r="E53" s="148" t="n"/>
      <c r="F53" s="148" t="n"/>
      <c r="G53" s="808">
        <f>$G$38*D53</f>
        <v/>
      </c>
      <c r="H53" s="805" t="n"/>
    </row>
    <row r="54" ht="30" customHeight="1">
      <c r="A54" s="806" t="n"/>
      <c r="B54" s="807" t="inlineStr">
        <is>
          <t>Chi phí tiện ích trong thi công (Điện, Nước, Vận thang, Vận chuyển rác thải ra trong phạm vi công trường.)</t>
        </is>
      </c>
      <c r="C54" s="806" t="inlineStr">
        <is>
          <t>Lot</t>
        </is>
      </c>
      <c r="D54" s="148" t="n">
        <v>0.02</v>
      </c>
      <c r="E54" s="148" t="n"/>
      <c r="F54" s="148" t="n"/>
      <c r="G54" s="808">
        <f>$G$38*D54</f>
        <v/>
      </c>
      <c r="H54" s="805" t="n"/>
    </row>
    <row r="55" ht="30" customHeight="1">
      <c r="A55" s="806" t="n"/>
      <c r="B55" s="807" t="inlineStr">
        <is>
          <t>Bảo Hộ, Dụng Cụ An Toàn, Bảo hiểm cho người lao động</t>
        </is>
      </c>
      <c r="C55" s="806" t="inlineStr">
        <is>
          <t>Lot</t>
        </is>
      </c>
      <c r="D55" s="148" t="n">
        <v>0.01</v>
      </c>
      <c r="E55" s="148" t="n"/>
      <c r="F55" s="148" t="n"/>
      <c r="G55" s="808">
        <f>$G$38*D55</f>
        <v/>
      </c>
      <c r="H55" s="805" t="n"/>
    </row>
    <row r="56" ht="30" customHeight="1">
      <c r="A56" s="806" t="n"/>
      <c r="B56" s="807" t="inlineStr">
        <is>
          <t>Vận chuyển, bảo quản và bảo vệ thiết bị do chủ đầu tư cấp (bồi thường nếu mất mát, hỏng hóc)</t>
        </is>
      </c>
      <c r="C56" s="806" t="inlineStr">
        <is>
          <t>Lot</t>
        </is>
      </c>
      <c r="D56" s="148" t="n">
        <v>0.035</v>
      </c>
      <c r="E56" s="148" t="n"/>
      <c r="F56" s="148" t="n"/>
      <c r="G56" s="808" t="n"/>
      <c r="H56" s="805" t="inlineStr">
        <is>
          <t>Nếu chủ đầu tư cấp thiết bị</t>
        </is>
      </c>
    </row>
    <row r="57">
      <c r="A57" s="791" t="n"/>
      <c r="B57" s="792" t="inlineStr">
        <is>
          <t>TỔNG (Chưa bao gồm VAT)</t>
        </is>
      </c>
      <c r="C57" s="791" t="n"/>
      <c r="D57" s="793" t="n"/>
      <c r="E57" s="794" t="n"/>
      <c r="F57" s="794" t="n"/>
      <c r="G57" s="794">
        <f>G38+G51</f>
        <v/>
      </c>
      <c r="H57" s="795" t="n"/>
    </row>
    <row r="58">
      <c r="A58" s="809" t="n"/>
      <c r="B58" s="810" t="inlineStr">
        <is>
          <t>Thuế VAT 10%</t>
        </is>
      </c>
      <c r="C58" s="809" t="n"/>
      <c r="D58" s="811" t="n"/>
      <c r="E58" s="812" t="n"/>
      <c r="F58" s="812" t="n"/>
      <c r="G58" s="812">
        <f>G57*0.1</f>
        <v/>
      </c>
      <c r="H58" s="813" t="n"/>
    </row>
    <row r="59">
      <c r="A59" s="791" t="n"/>
      <c r="B59" s="792" t="inlineStr">
        <is>
          <t>TỔNG (Đã bao gồm VAT)</t>
        </is>
      </c>
      <c r="C59" s="791" t="n"/>
      <c r="D59" s="793" t="n"/>
      <c r="E59" s="794" t="n"/>
      <c r="F59" s="794" t="n"/>
      <c r="G59" s="814">
        <f>SUM(G57:G58)</f>
        <v/>
      </c>
      <c r="H59" s="795" t="n"/>
    </row>
    <row r="60">
      <c r="A60" s="815" t="n"/>
      <c r="B60" s="816" t="n"/>
      <c r="C60" s="815" t="n"/>
      <c r="D60" s="817" t="n"/>
      <c r="E60" s="818" t="n"/>
      <c r="F60" s="818" t="n"/>
      <c r="G60" s="818" t="n"/>
      <c r="H60" s="818" t="n"/>
    </row>
    <row r="61">
      <c r="A61" s="72" t="n"/>
      <c r="B61" s="40" t="n"/>
      <c r="C61" s="41" t="n"/>
      <c r="D61" s="819" t="n"/>
      <c r="E61" s="820" t="n"/>
      <c r="F61" s="820" t="n"/>
      <c r="G61" s="820" t="n"/>
      <c r="H61" s="820" t="n"/>
    </row>
    <row r="62" ht="15.75" customHeight="1">
      <c r="A62" s="41" t="n"/>
      <c r="B62" s="40" t="n"/>
      <c r="C62" s="819" t="n"/>
      <c r="D62" s="755" t="n"/>
      <c r="G62" s="73" t="inlineStr">
        <is>
          <t>CÔNG TY CP TẬP ĐOÀN TDI</t>
        </is>
      </c>
      <c r="H62" s="65" t="n"/>
    </row>
    <row r="63">
      <c r="A63" s="37" t="n"/>
      <c r="B63" s="36" t="n"/>
      <c r="C63" s="777" t="n"/>
      <c r="D63" s="755" t="n"/>
      <c r="H63" s="65" t="n"/>
    </row>
    <row r="64">
      <c r="A64" s="41" t="n"/>
      <c r="B64" s="40" t="n"/>
      <c r="C64" s="819" t="n"/>
      <c r="D64" s="820" t="n"/>
      <c r="E64" s="820" t="n"/>
      <c r="F64" s="820" t="n"/>
      <c r="G64" s="820" t="n"/>
      <c r="H64" s="65" t="n"/>
    </row>
    <row r="65">
      <c r="A65" s="41" t="n"/>
      <c r="B65" s="40" t="n"/>
      <c r="C65" s="819" t="n"/>
      <c r="D65" s="820" t="n"/>
      <c r="E65" s="820" t="n"/>
      <c r="F65" s="820" t="n"/>
      <c r="G65" s="820" t="n"/>
      <c r="H65" s="65" t="n"/>
    </row>
    <row r="66">
      <c r="C66" s="754" t="n"/>
      <c r="D66" s="755" t="n"/>
      <c r="H66" s="65" t="n"/>
    </row>
  </sheetData>
  <mergeCells count="12">
    <mergeCell ref="E34:F34"/>
    <mergeCell ref="B9:B10"/>
    <mergeCell ref="A6:H6"/>
    <mergeCell ref="E9:E10"/>
    <mergeCell ref="A34:A35"/>
    <mergeCell ref="F9:G9"/>
    <mergeCell ref="C34:C35"/>
    <mergeCell ref="D34:D35"/>
    <mergeCell ref="B34:B35"/>
    <mergeCell ref="C9:D9"/>
    <mergeCell ref="G34:G35"/>
    <mergeCell ref="H34:H35"/>
  </mergeCells>
  <printOptions horizontalCentered="1"/>
  <pageMargins left="0.9" right="0.36" top="0.51" bottom="0.49" header="0.35" footer="0.27"/>
  <pageSetup orientation="portrait" paperSize="9" scale="57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BC20"/>
  <sheetViews>
    <sheetView zoomScale="70" zoomScaleNormal="70" workbookViewId="0">
      <pane ySplit="13" topLeftCell="A175" activePane="bottomLeft" state="frozen"/>
      <selection pane="bottomLeft" activeCell="B875" sqref="B875"/>
    </sheetView>
  </sheetViews>
  <sheetFormatPr baseColWidth="8" defaultColWidth="8.875" defaultRowHeight="15" outlineLevelRow="1"/>
  <cols>
    <col width="4.375" customWidth="1" style="3" min="1" max="1"/>
    <col width="28.875" customWidth="1" style="3" min="2" max="2"/>
    <col width="21.125" customWidth="1" style="3" min="3" max="3"/>
    <col width="16" customWidth="1" style="560" min="4" max="4"/>
    <col width="14.875" customWidth="1" style="560" min="5" max="6"/>
    <col width="8.125" customWidth="1" style="3" min="7" max="7"/>
    <col width="13.375" customWidth="1" style="3" min="8" max="11"/>
    <col width="28.125" customWidth="1" style="577" min="12" max="12"/>
    <col width="16.375" customWidth="1" style="560" min="13" max="13"/>
    <col width="16.375" customWidth="1" style="577" min="14" max="14"/>
    <col width="8.125" customWidth="1" style="560" min="15" max="15"/>
    <col width="13.125" customWidth="1" style="608" min="16" max="17"/>
    <col outlineLevel="1" width="7.125" customWidth="1" style="608" min="18" max="19"/>
    <col width="7.375" customWidth="1" style="608" min="20" max="20"/>
    <col hidden="1" outlineLevel="1" width="7.875" customWidth="1" style="22" min="21" max="38"/>
    <col collapsed="1" width="8.125" customWidth="1" style="22" min="39" max="39"/>
    <col width="14.125" customWidth="1" style="821" min="40" max="40"/>
    <col width="13.875" customWidth="1" style="822" min="41" max="51"/>
    <col width="16.375" customWidth="1" style="821" min="52" max="52"/>
    <col width="16.375" customWidth="1" style="822" min="53" max="54"/>
    <col width="17.125" customWidth="1" style="823" min="55" max="55"/>
    <col width="10.875" customWidth="1" min="57" max="57"/>
  </cols>
  <sheetData>
    <row r="1" ht="20.25" customHeight="1">
      <c r="A1" s="1" t="n"/>
      <c r="B1" s="1" t="n"/>
      <c r="C1" s="1" t="n"/>
      <c r="D1" s="561" t="n"/>
      <c r="E1" s="561" t="n"/>
      <c r="F1" s="561" t="n"/>
      <c r="G1" s="1" t="n"/>
      <c r="H1" s="1" t="n"/>
      <c r="I1" s="1" t="n"/>
      <c r="J1" s="1" t="n"/>
      <c r="K1" s="1" t="n"/>
      <c r="M1" s="577" t="n"/>
      <c r="P1" s="824" t="n"/>
      <c r="Q1" s="824" t="n"/>
      <c r="R1" s="824" t="n"/>
      <c r="S1" s="824" t="n"/>
      <c r="T1" s="824" t="n"/>
      <c r="U1" s="825" t="n"/>
      <c r="V1" s="825" t="n"/>
      <c r="W1" s="825" t="n"/>
      <c r="X1" s="825" t="n"/>
      <c r="Y1" s="825" t="n"/>
      <c r="Z1" s="825" t="n"/>
      <c r="AA1" s="825" t="n"/>
      <c r="AB1" s="825" t="n"/>
      <c r="AC1" s="825" t="n"/>
      <c r="AD1" s="825" t="n"/>
      <c r="AE1" s="825" t="n"/>
      <c r="AF1" s="825" t="n"/>
      <c r="AG1" s="825" t="n"/>
      <c r="AH1" s="825" t="n"/>
      <c r="AI1" s="825" t="n"/>
      <c r="AJ1" s="825" t="n"/>
      <c r="AK1" s="825" t="n"/>
      <c r="AL1" s="825" t="n"/>
      <c r="AM1" s="825" t="n"/>
      <c r="BC1" s="283" t="inlineStr">
        <is>
          <t>CÔNG TY CỔ PHẦN TẬP ĐOÀN TDI</t>
        </is>
      </c>
    </row>
    <row r="2" ht="16.5" customHeight="1">
      <c r="A2" s="7" t="n"/>
      <c r="B2" s="7" t="n"/>
      <c r="C2" s="7" t="n"/>
      <c r="D2" s="562" t="n"/>
      <c r="E2" s="562" t="n"/>
      <c r="F2" s="562" t="n"/>
      <c r="G2" s="7" t="n"/>
      <c r="H2" s="7" t="n"/>
      <c r="I2" s="7" t="n"/>
      <c r="J2" s="7" t="n"/>
      <c r="K2" s="7" t="n"/>
      <c r="M2" s="577" t="n"/>
      <c r="P2" s="824" t="n"/>
      <c r="Q2" s="824" t="n"/>
      <c r="R2" s="824" t="n"/>
      <c r="S2" s="824" t="n"/>
      <c r="T2" s="824" t="n"/>
      <c r="U2" s="825" t="n"/>
      <c r="V2" s="825" t="n"/>
      <c r="W2" s="825" t="n"/>
      <c r="X2" s="825" t="n"/>
      <c r="Y2" s="825" t="n"/>
      <c r="Z2" s="825" t="n"/>
      <c r="AA2" s="825" t="n"/>
      <c r="AB2" s="825" t="n"/>
      <c r="AC2" s="825" t="n"/>
      <c r="AD2" s="825" t="n"/>
      <c r="AE2" s="825" t="n"/>
      <c r="AF2" s="825" t="n"/>
      <c r="AG2" s="825" t="n"/>
      <c r="AH2" s="825" t="n"/>
      <c r="AI2" s="825" t="n"/>
      <c r="AJ2" s="825" t="n"/>
      <c r="AK2" s="825" t="n"/>
      <c r="AL2" s="825" t="n"/>
      <c r="AM2" s="825" t="n"/>
      <c r="BC2" s="284" t="inlineStr">
        <is>
          <t xml:space="preserve">   TDI GROUP JOINT STOCK COMPANY</t>
        </is>
      </c>
    </row>
    <row r="3">
      <c r="A3" s="8" t="n"/>
      <c r="B3" s="8" t="n"/>
      <c r="C3" s="8" t="n"/>
      <c r="D3" s="563" t="n"/>
      <c r="E3" s="563" t="n"/>
      <c r="F3" s="563" t="n"/>
      <c r="G3" s="8" t="n"/>
      <c r="H3" s="8" t="n"/>
      <c r="I3" s="8" t="n"/>
      <c r="J3" s="8" t="n"/>
      <c r="K3" s="8" t="n"/>
      <c r="M3" s="577" t="n"/>
      <c r="P3" s="824" t="n"/>
      <c r="Q3" s="824" t="n"/>
      <c r="R3" s="824" t="n"/>
      <c r="S3" s="824" t="n"/>
      <c r="T3" s="824" t="n"/>
      <c r="U3" s="825" t="n"/>
      <c r="V3" s="825" t="n"/>
      <c r="W3" s="825" t="n"/>
      <c r="X3" s="825" t="n"/>
      <c r="Y3" s="825" t="n"/>
      <c r="Z3" s="825" t="n"/>
      <c r="AA3" s="825" t="n"/>
      <c r="AB3" s="825" t="n"/>
      <c r="AC3" s="825" t="n"/>
      <c r="AD3" s="825" t="n"/>
      <c r="AE3" s="825" t="n"/>
      <c r="AF3" s="825" t="n"/>
      <c r="AG3" s="825" t="n"/>
      <c r="AH3" s="825" t="n"/>
      <c r="AI3" s="825" t="n"/>
      <c r="AJ3" s="825" t="n"/>
      <c r="AK3" s="825" t="n"/>
      <c r="AL3" s="825" t="n"/>
      <c r="AM3" s="825" t="n"/>
      <c r="BC3" s="285">
        <f>Summary!H3</f>
        <v/>
      </c>
    </row>
    <row r="4" ht="15.75" customHeight="1" thickBot="1">
      <c r="A4" s="9" t="n"/>
      <c r="B4" s="9" t="n"/>
      <c r="C4" s="9" t="n"/>
      <c r="D4" s="564" t="n"/>
      <c r="E4" s="564" t="n"/>
      <c r="F4" s="564" t="n"/>
      <c r="G4" s="9" t="n"/>
      <c r="H4" s="9" t="n"/>
      <c r="I4" s="9" t="n"/>
      <c r="J4" s="9" t="n"/>
      <c r="K4" s="9" t="n"/>
      <c r="L4" s="579" t="n"/>
      <c r="M4" s="579" t="n"/>
      <c r="N4" s="579" t="n"/>
      <c r="O4" s="580" t="n"/>
      <c r="P4" s="826" t="n"/>
      <c r="Q4" s="826" t="n"/>
      <c r="R4" s="826" t="n"/>
      <c r="S4" s="826" t="n"/>
      <c r="T4" s="826" t="n"/>
      <c r="U4" s="827" t="n"/>
      <c r="V4" s="827" t="n"/>
      <c r="W4" s="827" t="n"/>
      <c r="X4" s="827" t="n"/>
      <c r="Y4" s="827" t="n"/>
      <c r="Z4" s="827" t="n"/>
      <c r="AA4" s="827" t="n"/>
      <c r="AB4" s="827" t="n"/>
      <c r="AC4" s="827" t="n"/>
      <c r="AD4" s="827" t="n"/>
      <c r="AE4" s="827" t="n"/>
      <c r="AF4" s="827" t="n"/>
      <c r="AG4" s="827" t="n"/>
      <c r="AH4" s="827" t="n"/>
      <c r="AI4" s="827" t="n"/>
      <c r="AJ4" s="827" t="n"/>
      <c r="AK4" s="827" t="n"/>
      <c r="AL4" s="827" t="n"/>
      <c r="AM4" s="827" t="n"/>
      <c r="AN4" s="828" t="n"/>
      <c r="AO4" s="829" t="n"/>
      <c r="AP4" s="829" t="n"/>
      <c r="AQ4" s="829" t="n"/>
      <c r="AR4" s="829" t="n"/>
      <c r="AS4" s="829" t="n"/>
      <c r="AT4" s="829" t="n"/>
      <c r="AU4" s="829" t="n"/>
      <c r="AV4" s="829" t="n"/>
      <c r="AW4" s="829" t="n"/>
      <c r="AX4" s="829" t="n"/>
      <c r="AY4" s="829" t="n"/>
      <c r="AZ4" s="828" t="n"/>
      <c r="BA4" s="829" t="n"/>
      <c r="BB4" s="829" t="n"/>
      <c r="BC4" s="286" t="inlineStr">
        <is>
          <t>Tel: (024) 7308.6632 - info@tdigroup.vn - www.tdigroup.vn</t>
        </is>
      </c>
    </row>
    <row r="5" ht="26.25" customHeight="1" thickTop="1">
      <c r="A5" s="690" t="inlineStr">
        <is>
          <t>CHI TIẾT GIÁ</t>
        </is>
      </c>
      <c r="B5" s="830" t="n"/>
      <c r="C5" s="830" t="n"/>
      <c r="D5" s="830" t="n"/>
      <c r="E5" s="830" t="n"/>
      <c r="F5" s="830" t="n"/>
      <c r="G5" s="830" t="n"/>
      <c r="H5" s="830" t="n"/>
      <c r="I5" s="830" t="n"/>
      <c r="J5" s="830" t="n"/>
      <c r="K5" s="830" t="n"/>
      <c r="L5" s="830" t="n"/>
      <c r="M5" s="830" t="n"/>
      <c r="N5" s="830" t="n"/>
      <c r="O5" s="830" t="n"/>
      <c r="P5" s="830" t="n"/>
      <c r="Q5" s="830" t="n"/>
      <c r="R5" s="830" t="n"/>
      <c r="S5" s="830" t="n"/>
      <c r="T5" s="830" t="n"/>
      <c r="U5" s="830" t="n"/>
      <c r="V5" s="830" t="n"/>
      <c r="W5" s="830" t="n"/>
      <c r="X5" s="830" t="n"/>
      <c r="Y5" s="830" t="n"/>
      <c r="Z5" s="830" t="n"/>
      <c r="AA5" s="830" t="n"/>
      <c r="AB5" s="830" t="n"/>
      <c r="AC5" s="830" t="n"/>
      <c r="AD5" s="830" t="n"/>
      <c r="AE5" s="830" t="n"/>
      <c r="AF5" s="830" t="n"/>
      <c r="AG5" s="830" t="n"/>
      <c r="AH5" s="830" t="n"/>
      <c r="AI5" s="830" t="n"/>
      <c r="AJ5" s="830" t="n"/>
      <c r="AK5" s="830" t="n"/>
      <c r="AL5" s="830" t="n"/>
      <c r="AM5" s="830" t="n"/>
      <c r="AN5" s="830" t="n"/>
      <c r="AO5" s="830" t="n"/>
      <c r="AP5" s="830" t="n"/>
      <c r="AQ5" s="830" t="n"/>
      <c r="AR5" s="830" t="n"/>
      <c r="AS5" s="830" t="n"/>
      <c r="AT5" s="830" t="n"/>
      <c r="AU5" s="830" t="n"/>
      <c r="AV5" s="830" t="n"/>
      <c r="AW5" s="830" t="n"/>
      <c r="AX5" s="830" t="n"/>
      <c r="AY5" s="830" t="n"/>
      <c r="AZ5" s="830" t="n"/>
      <c r="BA5" s="830" t="n"/>
      <c r="BB5" s="830" t="n"/>
      <c r="BC5" s="830" t="n"/>
    </row>
    <row r="6" ht="15.75" customHeight="1">
      <c r="A6" s="15">
        <f>Summary!A32</f>
        <v/>
      </c>
      <c r="B6" s="15" t="n"/>
      <c r="C6" s="15" t="n"/>
      <c r="D6" s="565" t="n"/>
      <c r="E6" s="565" t="n"/>
      <c r="F6" s="565" t="n"/>
      <c r="G6" s="15" t="n"/>
      <c r="H6" s="15" t="n"/>
      <c r="I6" s="15" t="n"/>
      <c r="J6" s="15" t="n"/>
      <c r="K6" s="15" t="n"/>
      <c r="L6" s="582" t="n"/>
      <c r="M6" s="583" t="n"/>
      <c r="N6" s="582" t="n"/>
      <c r="O6" s="583" t="n"/>
      <c r="P6" s="583" t="n"/>
      <c r="Q6" s="583" t="n"/>
      <c r="R6" s="583" t="n"/>
      <c r="S6" s="583" t="n"/>
      <c r="T6" s="583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831" t="n"/>
      <c r="AO6" s="832" t="n"/>
      <c r="AZ6" s="831" t="n"/>
      <c r="BB6" s="778">
        <f>Summary!G32</f>
        <v/>
      </c>
      <c r="BC6" s="833">
        <f>Summary!H32</f>
        <v/>
      </c>
    </row>
    <row r="7" ht="28.5" customHeight="1">
      <c r="A7" s="77" t="inlineStr">
        <is>
          <t>Hạng mục: Hệ thống Điện Động Lực</t>
        </is>
      </c>
      <c r="B7" s="77" t="n"/>
      <c r="C7" s="77" t="n"/>
      <c r="D7" s="566" t="n"/>
      <c r="E7" s="566" t="n"/>
      <c r="F7" s="566" t="n"/>
      <c r="G7" s="77" t="n"/>
      <c r="H7" s="77" t="n"/>
      <c r="I7" s="77" t="n"/>
      <c r="J7" s="77" t="n"/>
      <c r="K7" s="77" t="n"/>
      <c r="L7" s="582" t="n"/>
      <c r="M7" s="583" t="n"/>
      <c r="N7" s="582" t="n"/>
      <c r="O7" s="583" t="n"/>
      <c r="P7" s="583" t="n"/>
      <c r="Q7" s="583" t="n"/>
      <c r="R7" s="583" t="n"/>
      <c r="S7" s="583" t="n"/>
      <c r="T7" s="583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834" t="inlineStr">
        <is>
          <t>VTP MFĐ</t>
        </is>
      </c>
      <c r="AO7" s="835" t="inlineStr">
        <is>
          <t>VTP Thiết bị</t>
        </is>
      </c>
      <c r="AP7" s="834" t="inlineStr">
        <is>
          <t>VTP OLD</t>
        </is>
      </c>
      <c r="AQ7" s="834" t="inlineStr">
        <is>
          <t>VTP TMC</t>
        </is>
      </c>
      <c r="AR7" s="834" t="inlineStr">
        <is>
          <t>VTP cáp điện</t>
        </is>
      </c>
      <c r="AS7" s="834" t="inlineStr">
        <is>
          <t>VTP ống nước</t>
        </is>
      </c>
      <c r="AT7" s="834" t="inlineStr">
        <is>
          <t>VTP Bảo ôn</t>
        </is>
      </c>
      <c r="AU7" s="834" t="inlineStr">
        <is>
          <t>VTP OG</t>
        </is>
      </c>
      <c r="AV7" s="835" t="inlineStr">
        <is>
          <t>VTP CSTĐ</t>
        </is>
      </c>
      <c r="AW7" s="836" t="inlineStr">
        <is>
          <t>CP testing</t>
        </is>
      </c>
      <c r="AX7" s="837" t="inlineStr">
        <is>
          <t>CP testing Điều hòa</t>
        </is>
      </c>
      <c r="AY7" s="835" t="inlineStr">
        <is>
          <t>VTP ống đồng</t>
        </is>
      </c>
      <c r="AZ7" s="838" t="inlineStr">
        <is>
          <t>Phụ kiện bơm</t>
        </is>
      </c>
      <c r="BA7" s="838" t="inlineStr">
        <is>
          <t>Phụ kiện TMC</t>
        </is>
      </c>
      <c r="BB7" s="778">
        <f>Summary!G33</f>
        <v/>
      </c>
      <c r="BC7" s="261">
        <f>Summary!H33</f>
        <v/>
      </c>
    </row>
    <row r="8" outlineLevel="1" ht="25.5" customHeight="1">
      <c r="A8" s="15" t="n"/>
      <c r="B8" s="15" t="n"/>
      <c r="C8" s="15" t="n"/>
      <c r="D8" s="565" t="n"/>
      <c r="E8" s="565" t="n"/>
      <c r="F8" s="565" t="n"/>
      <c r="G8" s="15" t="n"/>
      <c r="H8" s="15" t="n"/>
      <c r="I8" s="15" t="n"/>
      <c r="J8" s="15" t="n"/>
      <c r="K8" s="15" t="n"/>
      <c r="L8" s="582" t="n"/>
      <c r="M8" s="583" t="n"/>
      <c r="N8" s="582" t="n"/>
      <c r="O8" s="573" t="inlineStr">
        <is>
          <t>HS hao hụt</t>
        </is>
      </c>
      <c r="P8" s="574" t="inlineStr">
        <is>
          <t>HSVL</t>
        </is>
      </c>
      <c r="Q8" s="839" t="inlineStr">
        <is>
          <t>HSNC</t>
        </is>
      </c>
      <c r="R8" s="574" t="inlineStr">
        <is>
          <t>HSTB</t>
        </is>
      </c>
      <c r="S8" s="574" t="n"/>
      <c r="T8" s="66" t="inlineStr">
        <is>
          <t>HSKL</t>
        </is>
      </c>
      <c r="U8" s="67" t="n"/>
      <c r="V8" s="67" t="n"/>
      <c r="W8" s="67" t="n"/>
      <c r="X8" s="67" t="n"/>
      <c r="Y8" s="67" t="n"/>
      <c r="Z8" s="67" t="n"/>
      <c r="AA8" s="67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N8" s="620" t="n">
        <v>0.03</v>
      </c>
      <c r="AO8" s="620" t="n">
        <v>0.01</v>
      </c>
      <c r="AP8" s="620" t="n">
        <v>0.05</v>
      </c>
      <c r="AQ8" s="620" t="n">
        <v>0.12</v>
      </c>
      <c r="AR8" s="621" t="n">
        <v>0.015</v>
      </c>
      <c r="AS8" s="620" t="n">
        <v>0.1</v>
      </c>
      <c r="AT8" s="620" t="n">
        <v>0.07000000000000001</v>
      </c>
      <c r="AU8" s="620" t="n">
        <v>0.12</v>
      </c>
      <c r="AV8" s="620" t="n">
        <v>0.03</v>
      </c>
      <c r="AW8" s="622" t="n">
        <v>0.002</v>
      </c>
      <c r="AX8" s="622" t="n">
        <v>0.01</v>
      </c>
      <c r="AY8" s="620" t="n">
        <v>0.03</v>
      </c>
      <c r="AZ8" s="623" t="n">
        <v>0.04</v>
      </c>
      <c r="BA8" s="623" t="n">
        <v>0.15</v>
      </c>
      <c r="BB8" s="759" t="inlineStr">
        <is>
          <t>HS chung</t>
        </is>
      </c>
      <c r="BC8" s="760" t="inlineStr">
        <is>
          <t>LÀM TRÒN</t>
        </is>
      </c>
    </row>
    <row r="9" outlineLevel="1" ht="15.75" customHeight="1">
      <c r="A9" s="15" t="n"/>
      <c r="B9" s="15" t="n"/>
      <c r="C9" s="15" t="n"/>
      <c r="D9" s="565" t="n"/>
      <c r="E9" s="565" t="n"/>
      <c r="F9" s="565" t="n"/>
      <c r="G9" s="15" t="n"/>
      <c r="H9" s="15" t="n"/>
      <c r="I9" s="15" t="n"/>
      <c r="J9" s="15" t="n"/>
      <c r="K9" s="15" t="n"/>
      <c r="L9" s="582" t="n"/>
      <c r="M9" s="583" t="n"/>
      <c r="N9" s="582" t="n"/>
      <c r="O9" s="840" t="n">
        <v>1.02</v>
      </c>
      <c r="P9" s="841">
        <f>Summary!C8</f>
        <v/>
      </c>
      <c r="Q9" s="841">
        <f>Summary!E8</f>
        <v/>
      </c>
      <c r="R9" s="842">
        <f>Summary!D8</f>
        <v/>
      </c>
      <c r="S9" s="585" t="n"/>
      <c r="T9" s="843" t="n">
        <v>1</v>
      </c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  <c r="AK9" s="71" t="n"/>
      <c r="AL9" s="71" t="n"/>
      <c r="AO9" s="823" t="n"/>
      <c r="AP9" s="823" t="n"/>
      <c r="AQ9" s="823" t="n"/>
      <c r="AR9" s="823" t="n"/>
      <c r="AS9" s="823" t="n"/>
      <c r="AT9" s="823" t="n"/>
      <c r="AU9" s="823" t="n"/>
      <c r="AV9" s="823" t="n"/>
      <c r="AW9" s="823" t="n"/>
      <c r="AX9" s="823" t="n"/>
      <c r="AY9" s="823" t="n"/>
      <c r="AZ9" s="823" t="n"/>
      <c r="BA9" s="823" t="n"/>
      <c r="BB9" s="844">
        <f>Summary!F8</f>
        <v/>
      </c>
      <c r="BC9" s="71">
        <f>Summary!G8</f>
        <v/>
      </c>
    </row>
    <row r="10" ht="14.25" customHeight="1">
      <c r="A10" s="691" t="inlineStr">
        <is>
          <t>STT</t>
        </is>
      </c>
      <c r="B10" s="692" t="inlineStr">
        <is>
          <t>Hạng mục công việc</t>
        </is>
      </c>
      <c r="C10" s="845" t="inlineStr">
        <is>
          <t>Thông số kỹ thuật</t>
        </is>
      </c>
      <c r="D10" s="845" t="inlineStr">
        <is>
          <t>Mã hiệu</t>
        </is>
      </c>
      <c r="E10" s="845" t="inlineStr">
        <is>
          <t>Nhãn hiệu</t>
        </is>
      </c>
      <c r="F10" s="692" t="inlineStr">
        <is>
          <t>Xuất xứ</t>
        </is>
      </c>
      <c r="G10" s="692" t="inlineStr">
        <is>
          <t>Đơn vị</t>
        </is>
      </c>
      <c r="H10" s="846" t="inlineStr">
        <is>
          <t>Quantity/ Khối lượng nt</t>
        </is>
      </c>
      <c r="I10" s="847" t="n"/>
      <c r="J10" s="847" t="n"/>
      <c r="K10" s="764" t="n"/>
      <c r="L10" s="699" t="inlineStr">
        <is>
          <t>Nội Dung Công Việc</t>
        </is>
      </c>
      <c r="M10" s="699" t="inlineStr">
        <is>
          <t>Quy cách
Mã Hiệu</t>
        </is>
      </c>
      <c r="N10" s="848" t="inlineStr">
        <is>
          <t>Nhãn Hiệu
Xuất Xứ</t>
        </is>
      </c>
      <c r="O10" s="699" t="inlineStr">
        <is>
          <t>Đơn Vị</t>
        </is>
      </c>
      <c r="P10" s="849" t="inlineStr">
        <is>
          <t>Đơn giá gốc</t>
        </is>
      </c>
      <c r="Q10" s="761" t="n"/>
      <c r="R10" s="850" t="inlineStr">
        <is>
          <t>Bộ lọc</t>
        </is>
      </c>
      <c r="S10" s="761" t="n"/>
      <c r="T10" s="851" t="inlineStr">
        <is>
          <t>Tổng KL tạm tính</t>
        </is>
      </c>
      <c r="U10" s="679" t="inlineStr">
        <is>
          <t>Diễn giải chi tiết KL</t>
        </is>
      </c>
      <c r="V10" s="852" t="n"/>
      <c r="W10" s="852" t="n"/>
      <c r="X10" s="852" t="n"/>
      <c r="Y10" s="852" t="n"/>
      <c r="Z10" s="852" t="n"/>
      <c r="AA10" s="852" t="n"/>
      <c r="AB10" s="852" t="n"/>
      <c r="AC10" s="852" t="n"/>
      <c r="AD10" s="852" t="n"/>
      <c r="AE10" s="852" t="n"/>
      <c r="AF10" s="852" t="n"/>
      <c r="AG10" s="852" t="n"/>
      <c r="AH10" s="852" t="n"/>
      <c r="AI10" s="852" t="n"/>
      <c r="AJ10" s="852" t="n"/>
      <c r="AK10" s="852" t="n"/>
      <c r="AL10" s="761" t="n"/>
      <c r="AM10" s="680" t="inlineStr">
        <is>
          <t>KL</t>
        </is>
      </c>
      <c r="AN10" s="853" t="inlineStr">
        <is>
          <t>Đơn giá</t>
        </is>
      </c>
      <c r="AO10" s="847" t="n"/>
      <c r="AP10" s="847" t="n"/>
      <c r="AQ10" s="854" t="inlineStr">
        <is>
          <t>Basement</t>
        </is>
      </c>
      <c r="AR10" s="852" t="n"/>
      <c r="AS10" s="761" t="n"/>
      <c r="AT10" s="854" t="inlineStr">
        <is>
          <t>BLOCK A</t>
        </is>
      </c>
      <c r="AU10" s="852" t="n"/>
      <c r="AV10" s="761" t="n"/>
      <c r="AW10" s="854" t="inlineStr">
        <is>
          <t>BLOCK B</t>
        </is>
      </c>
      <c r="AX10" s="852" t="n"/>
      <c r="AY10" s="761" t="n"/>
      <c r="AZ10" s="854" t="inlineStr">
        <is>
          <t>Total</t>
        </is>
      </c>
      <c r="BA10" s="852" t="n"/>
      <c r="BB10" s="761" t="n"/>
      <c r="BC10" s="855" t="inlineStr">
        <is>
          <t>Ghi Chú</t>
        </is>
      </c>
    </row>
    <row r="11" ht="13.9" customHeight="1">
      <c r="A11" s="856" t="n"/>
      <c r="B11" s="856" t="n"/>
      <c r="C11" s="857" t="n"/>
      <c r="D11" s="857" t="n"/>
      <c r="E11" s="857" t="n"/>
      <c r="F11" s="856" t="n"/>
      <c r="G11" s="856" t="n"/>
      <c r="H11" s="858" t="inlineStr">
        <is>
          <t>Basement</t>
        </is>
      </c>
      <c r="I11" s="858" t="inlineStr">
        <is>
          <t>BLOCK A</t>
        </is>
      </c>
      <c r="J11" s="858" t="inlineStr">
        <is>
          <t>BLOCK B</t>
        </is>
      </c>
      <c r="K11" s="859" t="inlineStr">
        <is>
          <t>Tổng khối lượng</t>
        </is>
      </c>
      <c r="L11" s="856" t="n"/>
      <c r="M11" s="856" t="n"/>
      <c r="N11" s="857" t="n"/>
      <c r="O11" s="856" t="n"/>
      <c r="P11" s="851" t="inlineStr">
        <is>
          <t>Vật liệu</t>
        </is>
      </c>
      <c r="Q11" s="851" t="inlineStr">
        <is>
          <t>Nhân Công</t>
        </is>
      </c>
      <c r="R11" s="860" t="inlineStr">
        <is>
          <t>Chủng loại</t>
        </is>
      </c>
      <c r="S11" s="860" t="inlineStr">
        <is>
          <t>In ấn</t>
        </is>
      </c>
      <c r="T11" s="857" t="n"/>
      <c r="U11" s="861" t="inlineStr">
        <is>
          <t>Trục chính</t>
        </is>
      </c>
      <c r="V11" s="764" t="n"/>
      <c r="W11" s="861" t="inlineStr">
        <is>
          <t>Tầng Hầm</t>
        </is>
      </c>
      <c r="X11" s="847" t="n"/>
      <c r="Y11" s="764" t="n"/>
      <c r="Z11" s="861" t="inlineStr">
        <is>
          <t>Khối đế phía trên</t>
        </is>
      </c>
      <c r="AA11" s="847" t="n"/>
      <c r="AB11" s="764" t="n"/>
      <c r="AC11" s="861" t="inlineStr">
        <is>
          <t>Hành lang điển hình</t>
        </is>
      </c>
      <c r="AD11" s="847" t="n"/>
      <c r="AE11" s="764" t="n"/>
      <c r="AF11" s="861" t="inlineStr">
        <is>
          <t>Căn hộ điển hình</t>
        </is>
      </c>
      <c r="AG11" s="847" t="n"/>
      <c r="AH11" s="847" t="n"/>
      <c r="AI11" s="847" t="n"/>
      <c r="AJ11" s="764" t="n"/>
      <c r="AK11" s="861" t="inlineStr">
        <is>
          <t>Khu vực khác</t>
        </is>
      </c>
      <c r="AL11" s="764" t="n"/>
      <c r="AM11" s="857" t="n"/>
      <c r="AN11" s="862" t="inlineStr">
        <is>
          <t>Vật Liệu</t>
        </is>
      </c>
      <c r="AO11" s="862" t="inlineStr">
        <is>
          <t>Nhân công</t>
        </is>
      </c>
      <c r="AP11" s="862" t="inlineStr">
        <is>
          <t>ĐG Tổng</t>
        </is>
      </c>
      <c r="AQ11" s="863" t="inlineStr">
        <is>
          <t>Amount/ thành tiền</t>
        </is>
      </c>
      <c r="AR11" s="761" t="n"/>
      <c r="AS11" s="667" t="inlineStr">
        <is>
          <t>Total Amount/ Tổng thành tiền</t>
        </is>
      </c>
      <c r="AT11" s="863" t="inlineStr">
        <is>
          <t>Amount/ thành tiền</t>
        </is>
      </c>
      <c r="AU11" s="761" t="n"/>
      <c r="AV11" s="667" t="inlineStr">
        <is>
          <t>Total Amount/ Tổng thành tiền</t>
        </is>
      </c>
      <c r="AW11" s="863" t="inlineStr">
        <is>
          <t>Amount/ thành tiền</t>
        </is>
      </c>
      <c r="AX11" s="761" t="n"/>
      <c r="AY11" s="667" t="inlineStr">
        <is>
          <t>Total Amount/ Tổng thành tiền</t>
        </is>
      </c>
      <c r="AZ11" s="863" t="inlineStr">
        <is>
          <t>Amount/ thành tiền</t>
        </is>
      </c>
      <c r="BA11" s="761" t="n"/>
      <c r="BB11" s="666" t="inlineStr">
        <is>
          <t>Total Amount/ Tổng thành tiền</t>
        </is>
      </c>
      <c r="BC11" s="857" t="n"/>
    </row>
    <row r="12" ht="25.5" customHeight="1">
      <c r="A12" s="765" t="n"/>
      <c r="B12" s="765" t="n"/>
      <c r="C12" s="766" t="n"/>
      <c r="D12" s="766" t="n"/>
      <c r="E12" s="766" t="n"/>
      <c r="F12" s="765" t="n"/>
      <c r="G12" s="765" t="n"/>
      <c r="H12" s="765" t="n"/>
      <c r="I12" s="765" t="n"/>
      <c r="J12" s="765" t="n"/>
      <c r="K12" s="766" t="n"/>
      <c r="L12" s="765" t="n"/>
      <c r="M12" s="765" t="n"/>
      <c r="N12" s="766" t="n"/>
      <c r="O12" s="765" t="n"/>
      <c r="P12" s="766" t="n"/>
      <c r="Q12" s="766" t="n"/>
      <c r="R12" s="766" t="n"/>
      <c r="S12" s="766" t="n"/>
      <c r="T12" s="766" t="n"/>
      <c r="U12" s="199" t="inlineStr">
        <is>
          <t>Trục 1</t>
        </is>
      </c>
      <c r="V12" s="199" t="inlineStr">
        <is>
          <t>Trục 2</t>
        </is>
      </c>
      <c r="W12" s="199" t="inlineStr">
        <is>
          <t>Hầm 1</t>
        </is>
      </c>
      <c r="X12" s="199" t="inlineStr">
        <is>
          <t>Hầm 2</t>
        </is>
      </c>
      <c r="Y12" s="199" t="inlineStr">
        <is>
          <t>Hầm 3</t>
        </is>
      </c>
      <c r="Z12" s="199" t="inlineStr">
        <is>
          <t>Tầng 1</t>
        </is>
      </c>
      <c r="AA12" s="199" t="inlineStr">
        <is>
          <t>Tầng 2</t>
        </is>
      </c>
      <c r="AB12" s="199" t="inlineStr">
        <is>
          <t>Tầng 3</t>
        </is>
      </c>
      <c r="AC12" s="199" t="inlineStr">
        <is>
          <t>HL1</t>
        </is>
      </c>
      <c r="AD12" s="199" t="inlineStr">
        <is>
          <t>HL2</t>
        </is>
      </c>
      <c r="AE12" s="199" t="inlineStr">
        <is>
          <t>HL3</t>
        </is>
      </c>
      <c r="AF12" s="199" t="inlineStr">
        <is>
          <t>CH-01</t>
        </is>
      </c>
      <c r="AG12" s="199" t="inlineStr">
        <is>
          <t>CH-02</t>
        </is>
      </c>
      <c r="AH12" s="199" t="inlineStr">
        <is>
          <t>CH-03</t>
        </is>
      </c>
      <c r="AI12" s="199" t="inlineStr">
        <is>
          <t>CH-04</t>
        </is>
      </c>
      <c r="AJ12" s="199" t="inlineStr">
        <is>
          <t>CH-05</t>
        </is>
      </c>
      <c r="AK12" s="199" t="inlineStr">
        <is>
          <t>Khác 2</t>
        </is>
      </c>
      <c r="AL12" s="199" t="inlineStr">
        <is>
          <t>Khác 2</t>
        </is>
      </c>
      <c r="AM12" s="857" t="n"/>
      <c r="AN12" s="766" t="n"/>
      <c r="AO12" s="766" t="n"/>
      <c r="AP12" s="766" t="n"/>
      <c r="AQ12" s="863" t="inlineStr">
        <is>
          <t>Supply/ Cung cấp</t>
        </is>
      </c>
      <c r="AR12" s="863" t="inlineStr">
        <is>
          <t>Installation/ lắp đặt</t>
        </is>
      </c>
      <c r="AS12" s="765" t="n"/>
      <c r="AT12" s="863" t="inlineStr">
        <is>
          <t>Supply/ Cung cấp</t>
        </is>
      </c>
      <c r="AU12" s="863" t="inlineStr">
        <is>
          <t>Installation/ lắp đặt</t>
        </is>
      </c>
      <c r="AV12" s="765" t="n"/>
      <c r="AW12" s="863" t="inlineStr">
        <is>
          <t>Supply/ Cung cấp</t>
        </is>
      </c>
      <c r="AX12" s="863" t="inlineStr">
        <is>
          <t>Installation/ lắp đặt</t>
        </is>
      </c>
      <c r="AY12" s="765" t="n"/>
      <c r="AZ12" s="863" t="inlineStr">
        <is>
          <t>Supply/ Cung cấp</t>
        </is>
      </c>
      <c r="BA12" s="863" t="inlineStr">
        <is>
          <t>Installation/ lắp đặt</t>
        </is>
      </c>
      <c r="BB12" s="864" t="n"/>
      <c r="BC12" s="857" t="n"/>
    </row>
    <row r="13">
      <c r="A13" s="361" t="n"/>
      <c r="B13" s="355" t="inlineStr">
        <is>
          <t>sec0</t>
        </is>
      </c>
      <c r="C13" s="865" t="n"/>
      <c r="D13" s="866" t="n"/>
      <c r="E13" s="866" t="n"/>
      <c r="F13" s="866" t="n"/>
      <c r="G13" s="865" t="n"/>
      <c r="H13" s="867" t="n"/>
      <c r="I13" s="867" t="n"/>
      <c r="J13" s="867" t="n"/>
      <c r="K13" s="868" t="n"/>
      <c r="L13" s="587" t="n"/>
      <c r="M13" s="869" t="n"/>
      <c r="N13" s="870" t="n"/>
      <c r="O13" s="871" t="n"/>
      <c r="P13" s="870" t="n"/>
      <c r="Q13" s="870" t="n"/>
      <c r="R13" s="871" t="n"/>
      <c r="S13" s="872" t="n"/>
      <c r="T13" s="872" t="n"/>
      <c r="U13" s="873" t="n"/>
      <c r="V13" s="873" t="n"/>
      <c r="W13" s="873" t="n"/>
      <c r="X13" s="873" t="n"/>
      <c r="Y13" s="873" t="n"/>
      <c r="Z13" s="873" t="n"/>
      <c r="AA13" s="873" t="n"/>
      <c r="AB13" s="873" t="n"/>
      <c r="AC13" s="873" t="n"/>
      <c r="AD13" s="873" t="n"/>
      <c r="AE13" s="873" t="n"/>
      <c r="AF13" s="873" t="n"/>
      <c r="AG13" s="873" t="n"/>
      <c r="AH13" s="873" t="n"/>
      <c r="AI13" s="873" t="n"/>
      <c r="AJ13" s="873" t="n"/>
      <c r="AK13" s="873" t="n"/>
      <c r="AL13" s="873" t="n"/>
      <c r="AM13" s="874" t="n"/>
      <c r="AN13" s="874" t="n"/>
      <c r="AO13" s="874" t="n"/>
      <c r="AP13" s="874" t="n"/>
      <c r="AQ13" s="874" t="n"/>
      <c r="AR13" s="874" t="n"/>
      <c r="AS13" s="874" t="n"/>
      <c r="AT13" s="874" t="n"/>
      <c r="AU13" s="874" t="n"/>
      <c r="AV13" s="874" t="n"/>
      <c r="AW13" s="874" t="n"/>
      <c r="AX13" s="874" t="n"/>
      <c r="AY13" s="874" t="n"/>
      <c r="AZ13" s="874" t="n"/>
      <c r="BA13" s="874" t="n"/>
      <c r="BB13" s="874" t="n"/>
      <c r="BC13" s="875" t="n"/>
    </row>
    <row r="14">
      <c r="A14" s="361" t="n"/>
      <c r="B14" s="355" t="inlineStr">
        <is>
          <t>sec1</t>
        </is>
      </c>
      <c r="C14" s="865" t="n"/>
      <c r="D14" s="866" t="n"/>
      <c r="E14" s="866" t="n"/>
      <c r="F14" s="866" t="n"/>
      <c r="G14" s="865" t="n"/>
      <c r="H14" s="867" t="n"/>
      <c r="I14" s="867" t="n"/>
      <c r="J14" s="867" t="n"/>
      <c r="K14" s="868" t="n"/>
      <c r="L14" s="587" t="n"/>
      <c r="M14" s="869" t="n"/>
      <c r="N14" s="870" t="n"/>
      <c r="O14" s="871" t="n"/>
      <c r="P14" s="870" t="n"/>
      <c r="Q14" s="870" t="n"/>
      <c r="R14" s="871" t="n"/>
      <c r="S14" s="872" t="n"/>
      <c r="T14" s="872" t="n"/>
      <c r="U14" s="873" t="n"/>
      <c r="V14" s="873" t="n"/>
      <c r="W14" s="873" t="n"/>
      <c r="X14" s="873" t="n"/>
      <c r="Y14" s="873" t="n"/>
      <c r="Z14" s="873" t="n"/>
      <c r="AA14" s="873" t="n"/>
      <c r="AB14" s="873" t="n"/>
      <c r="AC14" s="873" t="n"/>
      <c r="AD14" s="873" t="n"/>
      <c r="AE14" s="873" t="n"/>
      <c r="AF14" s="873" t="n"/>
      <c r="AG14" s="873" t="n"/>
      <c r="AH14" s="873" t="n"/>
      <c r="AI14" s="873" t="n"/>
      <c r="AJ14" s="873" t="n"/>
      <c r="AK14" s="873" t="n"/>
      <c r="AL14" s="873" t="n"/>
      <c r="AM14" s="874" t="n"/>
      <c r="AN14" s="874" t="n"/>
      <c r="AO14" s="874" t="n"/>
      <c r="AP14" s="874" t="n"/>
      <c r="AQ14" s="874" t="n"/>
      <c r="AR14" s="874" t="n"/>
      <c r="AS14" s="874" t="n"/>
      <c r="AT14" s="874" t="n"/>
      <c r="AU14" s="874" t="n"/>
      <c r="AV14" s="874" t="n"/>
      <c r="AW14" s="874" t="n"/>
      <c r="AX14" s="874" t="n"/>
      <c r="AY14" s="874" t="n"/>
      <c r="AZ14" s="874" t="n"/>
      <c r="BA14" s="874" t="n"/>
      <c r="BB14" s="874" t="n"/>
      <c r="BC14" s="875" t="n"/>
    </row>
    <row r="15">
      <c r="A15" s="376" t="n"/>
      <c r="B15" s="377" t="inlineStr">
        <is>
          <t>sec2</t>
        </is>
      </c>
      <c r="C15" s="876" t="n"/>
      <c r="D15" s="877" t="n"/>
      <c r="E15" s="877" t="n"/>
      <c r="F15" s="877" t="n"/>
      <c r="G15" s="876" t="n"/>
      <c r="H15" s="878" t="n"/>
      <c r="I15" s="878" t="n"/>
      <c r="J15" s="878" t="n"/>
      <c r="K15" s="879" t="n"/>
      <c r="L15" s="590" t="n"/>
      <c r="M15" s="880" t="n"/>
      <c r="N15" s="881" t="n"/>
      <c r="O15" s="882" t="n"/>
      <c r="P15" s="881" t="n"/>
      <c r="Q15" s="881" t="n"/>
      <c r="R15" s="882" t="n"/>
      <c r="S15" s="883" t="n"/>
      <c r="T15" s="883" t="n"/>
      <c r="U15" s="873" t="n"/>
      <c r="V15" s="873" t="n"/>
      <c r="W15" s="873" t="n"/>
      <c r="X15" s="873" t="n"/>
      <c r="Y15" s="873" t="n"/>
      <c r="Z15" s="873" t="n"/>
      <c r="AA15" s="873" t="n"/>
      <c r="AB15" s="873" t="n"/>
      <c r="AC15" s="873" t="n"/>
      <c r="AD15" s="873" t="n"/>
      <c r="AE15" s="873" t="n"/>
      <c r="AF15" s="873" t="n"/>
      <c r="AG15" s="873" t="n"/>
      <c r="AH15" s="873" t="n"/>
      <c r="AI15" s="873" t="n"/>
      <c r="AJ15" s="873" t="n"/>
      <c r="AK15" s="873" t="n"/>
      <c r="AL15" s="873" t="n"/>
      <c r="AM15" s="884" t="n"/>
      <c r="AN15" s="884" t="n"/>
      <c r="AO15" s="884" t="n"/>
      <c r="AP15" s="884" t="n"/>
      <c r="AQ15" s="884" t="n"/>
      <c r="AR15" s="884" t="n"/>
      <c r="AS15" s="884" t="n"/>
      <c r="AT15" s="884" t="n"/>
      <c r="AU15" s="884" t="n"/>
      <c r="AV15" s="884" t="n"/>
      <c r="AW15" s="884" t="n"/>
      <c r="AX15" s="884" t="n"/>
      <c r="AY15" s="884" t="n"/>
      <c r="AZ15" s="884" t="n"/>
      <c r="BA15" s="884" t="n"/>
      <c r="BB15" s="884" t="n"/>
      <c r="BC15" s="885" t="n"/>
    </row>
    <row r="16">
      <c r="A16" s="388" t="n"/>
      <c r="B16" s="389" t="inlineStr">
        <is>
          <t>sec3</t>
        </is>
      </c>
      <c r="C16" s="886" t="n"/>
      <c r="D16" s="887" t="n"/>
      <c r="E16" s="887" t="n"/>
      <c r="F16" s="887" t="n"/>
      <c r="G16" s="886" t="n"/>
      <c r="H16" s="888" t="n"/>
      <c r="I16" s="888" t="n"/>
      <c r="J16" s="888" t="n"/>
      <c r="K16" s="889" t="n"/>
      <c r="L16" s="602" t="n"/>
      <c r="M16" s="890" t="n"/>
      <c r="N16" s="891" t="n"/>
      <c r="O16" s="892" t="n"/>
      <c r="P16" s="891" t="n"/>
      <c r="Q16" s="891" t="n"/>
      <c r="R16" s="892" t="n"/>
      <c r="S16" s="893" t="n"/>
      <c r="T16" s="893" t="n"/>
      <c r="U16" s="873" t="n"/>
      <c r="V16" s="873" t="n"/>
      <c r="W16" s="873" t="n"/>
      <c r="X16" s="873" t="n"/>
      <c r="Y16" s="873" t="n"/>
      <c r="Z16" s="873" t="n"/>
      <c r="AA16" s="873" t="n"/>
      <c r="AB16" s="873" t="n"/>
      <c r="AC16" s="873" t="n"/>
      <c r="AD16" s="873" t="n"/>
      <c r="AE16" s="873" t="n"/>
      <c r="AF16" s="873" t="n"/>
      <c r="AG16" s="873" t="n"/>
      <c r="AH16" s="873" t="n"/>
      <c r="AI16" s="873" t="n"/>
      <c r="AJ16" s="873" t="n"/>
      <c r="AK16" s="873" t="n"/>
      <c r="AL16" s="873" t="n"/>
      <c r="AM16" s="894" t="n"/>
      <c r="AN16" s="894" t="n"/>
      <c r="AO16" s="894" t="n"/>
      <c r="AP16" s="894" t="n"/>
      <c r="AQ16" s="894" t="n"/>
      <c r="AR16" s="894" t="n"/>
      <c r="AS16" s="894" t="n"/>
      <c r="AT16" s="894" t="n"/>
      <c r="AU16" s="894" t="n"/>
      <c r="AV16" s="894" t="n"/>
      <c r="AW16" s="894" t="n"/>
      <c r="AX16" s="894" t="n"/>
      <c r="AY16" s="894" t="n"/>
      <c r="AZ16" s="894" t="n"/>
      <c r="BA16" s="894" t="n"/>
      <c r="BB16" s="894" t="n"/>
      <c r="BC16" s="895" t="n"/>
    </row>
    <row r="17">
      <c r="A17" s="307" t="n"/>
      <c r="B17" s="310" t="inlineStr">
        <is>
          <t>note</t>
        </is>
      </c>
      <c r="C17" s="896" t="n"/>
      <c r="D17" s="897" t="n"/>
      <c r="E17" s="897" t="n"/>
      <c r="F17" s="897" t="n"/>
      <c r="G17" s="896" t="n"/>
      <c r="H17" s="898" t="n"/>
      <c r="I17" s="898" t="n"/>
      <c r="J17" s="898" t="n"/>
      <c r="K17" s="899" t="n"/>
      <c r="L17" s="593" t="n"/>
      <c r="M17" s="900" t="n"/>
      <c r="N17" s="901" t="n"/>
      <c r="O17" s="902" t="n"/>
      <c r="P17" s="901" t="n"/>
      <c r="Q17" s="901" t="n"/>
      <c r="R17" s="902" t="n"/>
      <c r="S17" s="903" t="n"/>
      <c r="T17" s="903" t="n"/>
      <c r="U17" s="873" t="n"/>
      <c r="V17" s="873" t="n"/>
      <c r="W17" s="873" t="n"/>
      <c r="X17" s="873" t="n"/>
      <c r="Y17" s="873" t="n"/>
      <c r="Z17" s="873" t="n"/>
      <c r="AA17" s="873" t="n"/>
      <c r="AB17" s="873" t="n"/>
      <c r="AC17" s="873" t="n"/>
      <c r="AD17" s="873" t="n"/>
      <c r="AE17" s="873" t="n"/>
      <c r="AF17" s="873" t="n"/>
      <c r="AG17" s="873" t="n"/>
      <c r="AH17" s="873" t="n"/>
      <c r="AI17" s="873" t="n"/>
      <c r="AJ17" s="873" t="n"/>
      <c r="AK17" s="873" t="n"/>
      <c r="AL17" s="873" t="n"/>
      <c r="AM17" s="904" t="n"/>
      <c r="AN17" s="904" t="n"/>
      <c r="AO17" s="904" t="n"/>
      <c r="AP17" s="904" t="n"/>
      <c r="AQ17" s="904" t="n"/>
      <c r="AR17" s="904" t="n"/>
      <c r="AS17" s="904" t="n"/>
      <c r="AT17" s="904" t="n"/>
      <c r="AU17" s="904" t="n"/>
      <c r="AV17" s="904" t="n"/>
      <c r="AW17" s="904" t="n"/>
      <c r="AX17" s="904" t="n"/>
      <c r="AY17" s="904" t="n"/>
      <c r="AZ17" s="904" t="n"/>
      <c r="BA17" s="904" t="n"/>
      <c r="BB17" s="904" t="n"/>
      <c r="BC17" s="905" t="n"/>
    </row>
    <row r="18" customFormat="1" s="425">
      <c r="A18" s="317" t="n"/>
      <c r="B18" s="315" t="inlineStr">
        <is>
          <t>note_bold</t>
        </is>
      </c>
      <c r="C18" s="906" t="n"/>
      <c r="D18" s="897" t="n"/>
      <c r="E18" s="897" t="n"/>
      <c r="F18" s="897" t="n"/>
      <c r="G18" s="906" t="n"/>
      <c r="H18" s="907" t="n"/>
      <c r="I18" s="907" t="n"/>
      <c r="J18" s="907" t="n"/>
      <c r="K18" s="899" t="n"/>
      <c r="L18" s="593" t="n"/>
      <c r="M18" s="900" t="n"/>
      <c r="N18" s="901" t="n"/>
      <c r="O18" s="902" t="n"/>
      <c r="P18" s="901" t="n"/>
      <c r="Q18" s="901" t="n"/>
      <c r="R18" s="902" t="n"/>
      <c r="S18" s="903" t="n"/>
      <c r="T18" s="903" t="n"/>
      <c r="U18" s="873" t="n"/>
      <c r="V18" s="873" t="n"/>
      <c r="W18" s="873" t="n"/>
      <c r="X18" s="873" t="n"/>
      <c r="Y18" s="873" t="n"/>
      <c r="Z18" s="873" t="n"/>
      <c r="AA18" s="873" t="n"/>
      <c r="AB18" s="873" t="n"/>
      <c r="AC18" s="873" t="n"/>
      <c r="AD18" s="873" t="n"/>
      <c r="AE18" s="873" t="n"/>
      <c r="AF18" s="873" t="n"/>
      <c r="AG18" s="873" t="n"/>
      <c r="AH18" s="873" t="n"/>
      <c r="AI18" s="873" t="n"/>
      <c r="AJ18" s="873" t="n"/>
      <c r="AK18" s="873" t="n"/>
      <c r="AL18" s="873" t="n"/>
      <c r="AM18" s="904" t="n"/>
      <c r="AN18" s="904" t="n"/>
      <c r="AO18" s="904" t="n"/>
      <c r="AP18" s="904" t="n"/>
      <c r="AQ18" s="904" t="n"/>
      <c r="AR18" s="904" t="n"/>
      <c r="AS18" s="904" t="n"/>
      <c r="AT18" s="904" t="n"/>
      <c r="AU18" s="904" t="n"/>
      <c r="AV18" s="904" t="n"/>
      <c r="AW18" s="904" t="n"/>
      <c r="AX18" s="904" t="n"/>
      <c r="AY18" s="904" t="n"/>
      <c r="AZ18" s="904" t="n"/>
      <c r="BA18" s="904" t="n"/>
      <c r="BB18" s="904" t="n"/>
      <c r="BC18" s="905" t="n"/>
    </row>
    <row r="19">
      <c r="A19" s="307" t="n"/>
      <c r="B19" s="310" t="inlineStr">
        <is>
          <t>item</t>
        </is>
      </c>
      <c r="C19" s="896" t="n"/>
      <c r="D19" s="897" t="n"/>
      <c r="E19" s="897" t="n"/>
      <c r="F19" s="897" t="n"/>
      <c r="G19" s="896" t="n"/>
      <c r="H19" s="898" t="n"/>
      <c r="I19" s="898" t="n"/>
      <c r="J19" s="898" t="n"/>
      <c r="K19" s="899" t="n"/>
      <c r="L19" s="593" t="n"/>
      <c r="M19" s="900" t="n"/>
      <c r="N19" s="901" t="n"/>
      <c r="O19" s="902" t="n"/>
      <c r="P19" s="901" t="n"/>
      <c r="Q19" s="901" t="n"/>
      <c r="R19" s="902" t="n"/>
      <c r="S19" s="903" t="n"/>
      <c r="T19" s="903" t="n"/>
      <c r="U19" s="873" t="n"/>
      <c r="V19" s="873" t="n"/>
      <c r="W19" s="873" t="n"/>
      <c r="X19" s="873" t="n"/>
      <c r="Y19" s="873" t="n"/>
      <c r="Z19" s="873" t="n"/>
      <c r="AA19" s="873" t="n"/>
      <c r="AB19" s="873" t="n"/>
      <c r="AC19" s="873" t="n"/>
      <c r="AD19" s="873" t="n"/>
      <c r="AE19" s="873" t="n"/>
      <c r="AF19" s="873" t="n"/>
      <c r="AG19" s="873" t="n"/>
      <c r="AH19" s="873" t="n"/>
      <c r="AI19" s="873" t="n"/>
      <c r="AJ19" s="873" t="n"/>
      <c r="AK19" s="873" t="n"/>
      <c r="AL19" s="873" t="n"/>
      <c r="AM19" s="904" t="n"/>
      <c r="AN19" s="908" t="n"/>
      <c r="AO19" s="904" t="n"/>
      <c r="AP19" s="904" t="n"/>
      <c r="AQ19" s="904" t="n"/>
      <c r="AR19" s="904" t="n"/>
      <c r="AS19" s="904" t="n"/>
      <c r="AT19" s="904" t="n"/>
      <c r="AU19" s="904" t="n"/>
      <c r="AV19" s="904" t="n"/>
      <c r="AW19" s="904" t="n"/>
      <c r="AX19" s="904" t="n"/>
      <c r="AY19" s="904" t="n"/>
      <c r="AZ19" s="904" t="n"/>
      <c r="BA19" s="904" t="n"/>
      <c r="BB19" s="904" t="n"/>
      <c r="BC19" s="905" t="n"/>
    </row>
    <row r="20">
      <c r="A20" s="373" t="n"/>
      <c r="B20" s="374" t="inlineStr">
        <is>
          <t>total</t>
        </is>
      </c>
      <c r="C20" s="909" t="n"/>
      <c r="D20" s="866" t="n"/>
      <c r="E20" s="866" t="n"/>
      <c r="F20" s="866" t="n"/>
      <c r="G20" s="868" t="n"/>
      <c r="H20" s="868" t="n"/>
      <c r="I20" s="868" t="n"/>
      <c r="J20" s="868" t="n"/>
      <c r="K20" s="868" t="n"/>
      <c r="L20" s="587" t="n"/>
      <c r="M20" s="869" t="n"/>
      <c r="N20" s="870" t="n"/>
      <c r="O20" s="871" t="n"/>
      <c r="P20" s="870" t="n"/>
      <c r="Q20" s="870" t="n"/>
      <c r="R20" s="871" t="n"/>
      <c r="S20" s="872" t="n"/>
      <c r="T20" s="872" t="n"/>
      <c r="U20" s="873" t="n"/>
      <c r="V20" s="873" t="n"/>
      <c r="W20" s="873" t="n"/>
      <c r="X20" s="873" t="n"/>
      <c r="Y20" s="873" t="n"/>
      <c r="Z20" s="873" t="n"/>
      <c r="AA20" s="873" t="n"/>
      <c r="AB20" s="873" t="n"/>
      <c r="AC20" s="873" t="n"/>
      <c r="AD20" s="873" t="n"/>
      <c r="AE20" s="873" t="n"/>
      <c r="AF20" s="873" t="n"/>
      <c r="AG20" s="873" t="n"/>
      <c r="AH20" s="873" t="n"/>
      <c r="AI20" s="873" t="n"/>
      <c r="AJ20" s="873" t="n"/>
      <c r="AK20" s="873" t="n"/>
      <c r="AL20" s="873" t="n"/>
      <c r="AM20" s="874" t="n"/>
      <c r="AN20" s="874" t="n"/>
      <c r="AO20" s="874" t="n"/>
      <c r="AP20" s="874" t="n"/>
      <c r="AQ20" s="874" t="n"/>
      <c r="AR20" s="874" t="n"/>
      <c r="AS20" s="874" t="n"/>
      <c r="AT20" s="874" t="n"/>
      <c r="AU20" s="874" t="n"/>
      <c r="AV20" s="874" t="n"/>
      <c r="AW20" s="874" t="n"/>
      <c r="AX20" s="874" t="n"/>
      <c r="AY20" s="874" t="n"/>
      <c r="AZ20" s="874" t="n"/>
      <c r="BA20" s="874" t="n"/>
      <c r="BB20" s="874" t="n"/>
      <c r="BC20" s="875" t="n"/>
    </row>
    <row r="21" ht="30" customHeight="1"/>
    <row r="22" customFormat="1" s="425"/>
    <row r="23" ht="30" customHeight="1"/>
    <row r="27" ht="75" customHeight="1"/>
    <row r="28" ht="30" customHeight="1"/>
    <row r="29" ht="30" customHeight="1"/>
    <row r="32" ht="28.5" customHeight="1"/>
    <row r="33" ht="105" customHeight="1"/>
    <row r="34" ht="30" customHeight="1"/>
    <row r="35" ht="30" customHeight="1"/>
    <row r="37" ht="30" customHeight="1"/>
    <row r="44" ht="45" customHeight="1"/>
    <row r="45" ht="30" customHeight="1"/>
    <row r="46" ht="45" customHeight="1"/>
    <row r="48" ht="60" customHeight="1"/>
    <row r="49" ht="60" customHeight="1"/>
    <row r="50" ht="30" customHeight="1"/>
    <row r="54" ht="45" customHeight="1"/>
    <row r="58" ht="120" customHeight="1"/>
    <row r="60" ht="30" customHeight="1"/>
    <row r="61" ht="30" customHeight="1"/>
    <row r="62" ht="30" customHeight="1"/>
    <row r="63" ht="30" customHeight="1"/>
    <row r="198" ht="30" customHeight="1"/>
    <row r="199" ht="30" customHeight="1"/>
    <row r="200" ht="30" customHeight="1"/>
    <row r="208" ht="30" customHeight="1"/>
    <row r="209" ht="30" customHeight="1"/>
    <row r="210" ht="30" customHeight="1"/>
    <row r="226" ht="165" customHeight="1"/>
    <row r="229" ht="75" customHeight="1"/>
    <row r="230" ht="28.5" customFormat="1" customHeight="1" s="425"/>
    <row r="231" ht="30" customHeight="1"/>
    <row r="234" ht="30" customHeight="1"/>
    <row r="237" ht="30" customHeight="1"/>
    <row r="240" ht="45" customHeight="1"/>
    <row r="241" ht="30" customHeight="1"/>
    <row r="243" ht="45" customHeight="1"/>
    <row r="244" ht="30" customHeight="1"/>
    <row r="246" ht="30" customHeight="1"/>
    <row r="249" ht="30" customHeight="1"/>
    <row r="250" ht="30" customHeight="1"/>
    <row r="252" ht="30" customHeight="1"/>
    <row r="255" ht="45" customHeight="1"/>
    <row r="256" ht="30" customHeight="1"/>
    <row r="258" ht="30" customHeight="1"/>
    <row r="259" ht="30" customHeight="1"/>
    <row r="260" ht="30" customHeight="1"/>
    <row r="263" ht="30" customHeight="1"/>
    <row r="266" ht="30" customHeight="1"/>
    <row r="269" ht="30" customHeight="1"/>
    <row r="272" ht="30" customHeight="1"/>
    <row r="273" ht="30" customHeight="1"/>
    <row r="275" ht="30" customHeight="1"/>
    <row r="276" ht="30" customHeight="1"/>
    <row r="278" ht="30" customHeight="1"/>
    <row r="279" ht="30" customHeight="1"/>
    <row r="281" ht="45" customHeight="1"/>
    <row r="282" ht="30" customHeight="1"/>
    <row r="284" ht="30" customHeight="1"/>
    <row r="287" ht="45" customHeight="1"/>
    <row r="288" ht="30" customHeight="1"/>
    <row r="290" ht="30" customHeight="1"/>
    <row r="293" ht="45" customHeight="1"/>
    <row r="294" ht="30" customHeight="1"/>
    <row r="296" ht="45" customHeight="1"/>
    <row r="297" ht="30" customHeight="1"/>
    <row r="299" ht="30" customHeight="1"/>
    <row r="302" ht="45" customHeight="1"/>
    <row r="303" ht="30" customHeight="1"/>
    <row r="305" ht="30" customHeight="1"/>
    <row r="308" ht="45" customHeight="1"/>
    <row r="309" ht="30" customHeight="1"/>
    <row r="311" ht="45" customHeight="1"/>
    <row r="312" ht="30" customHeight="1"/>
    <row r="314" ht="45" customHeight="1"/>
    <row r="315" ht="30" customHeight="1"/>
    <row r="317" ht="30" customHeight="1"/>
    <row r="320" ht="30" customHeight="1"/>
    <row r="323" ht="30" customHeight="1"/>
    <row r="326" ht="30" customHeight="1"/>
    <row r="329" ht="30" customHeight="1"/>
    <row r="332" ht="45" customHeight="1"/>
    <row r="333" ht="30" customHeight="1"/>
    <row r="335" ht="30" customHeight="1"/>
    <row r="338" ht="45" customHeight="1"/>
    <row r="339" ht="30" customHeight="1"/>
    <row r="341" ht="30" customHeight="1"/>
    <row r="344" ht="30" customHeight="1"/>
    <row r="347" ht="30" customHeight="1"/>
    <row r="350" ht="45" customHeight="1"/>
    <row r="351" ht="30" customHeight="1"/>
    <row r="353" ht="30" customHeight="1"/>
    <row r="354" ht="30" customHeight="1"/>
    <row r="356" ht="45" customHeight="1"/>
    <row r="357" ht="30" customHeight="1"/>
    <row r="359" ht="45" customHeight="1"/>
    <row r="360" ht="30" customHeight="1"/>
    <row r="362" ht="45" customHeight="1"/>
    <row r="363" ht="30" customHeight="1"/>
    <row r="365" ht="30" customHeight="1"/>
    <row r="368" ht="30" customHeight="1"/>
    <row r="371" ht="45" customHeight="1"/>
    <row r="372" ht="30" customHeight="1"/>
    <row r="374" ht="30" customHeight="1"/>
    <row r="378" ht="30" customHeight="1"/>
    <row r="381" ht="30" customHeight="1"/>
    <row r="384" ht="30" customHeight="1"/>
    <row r="387" ht="30" customHeight="1"/>
    <row r="390" ht="30" customHeight="1"/>
    <row r="393" ht="30" customHeight="1"/>
    <row r="396" ht="30" customHeight="1"/>
    <row r="400" ht="165" customHeight="1"/>
    <row r="403" ht="75" customHeight="1"/>
    <row r="404" ht="75" customHeight="1"/>
    <row r="405" ht="45" customHeight="1"/>
    <row r="410" ht="60" customHeight="1"/>
    <row r="411" ht="45" customHeight="1"/>
    <row r="417" ht="30" customHeight="1"/>
    <row r="418" ht="30" customHeight="1"/>
    <row r="419" ht="60" customHeight="1"/>
    <row r="420" ht="75" customHeight="1"/>
    <row r="421" ht="75" customHeight="1"/>
    <row r="422" ht="75" customHeight="1"/>
    <row r="423" ht="165" customHeight="1"/>
    <row r="426" ht="69.59999999999999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152.45" customHeight="1"/>
    <row r="446" ht="75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9" ht="165" customHeight="1"/>
    <row r="461" ht="28.5" customHeight="1"/>
    <row r="462" ht="75" customHeight="1"/>
    <row r="464" ht="45" customHeight="1"/>
    <row r="465" ht="30" customHeight="1"/>
    <row r="466" ht="30" customHeight="1"/>
    <row r="467" ht="30" customHeight="1"/>
    <row r="468" ht="60" customHeight="1"/>
    <row r="469" ht="60" customHeight="1"/>
    <row r="470" ht="60" customHeight="1"/>
    <row r="471" ht="60" customHeight="1"/>
    <row r="472" ht="30" customHeight="1"/>
    <row r="484" ht="45" customHeight="1"/>
    <row r="485" ht="30" customHeight="1"/>
    <row r="486" ht="30" customHeight="1"/>
    <row r="487" ht="30" customHeight="1"/>
    <row r="488" ht="30" customHeight="1"/>
    <row r="490" ht="30" customHeight="1"/>
    <row r="491" ht="30" customHeight="1"/>
    <row r="492" ht="60" customHeight="1"/>
    <row r="493" ht="60" customHeight="1"/>
    <row r="495" ht="159" customHeight="1"/>
    <row r="498" ht="75" customHeight="1"/>
    <row r="500" ht="30" customHeight="1"/>
    <row r="501" ht="30" customHeight="1"/>
    <row r="502" ht="30" customHeight="1"/>
    <row r="503" ht="30" customHeight="1"/>
    <row r="505" ht="30" customHeight="1"/>
    <row r="506" ht="30" customHeight="1"/>
    <row r="507" ht="30" customHeight="1"/>
    <row r="509" ht="30" customHeight="1"/>
    <row r="510" ht="30" customHeight="1"/>
    <row r="511" ht="30" customHeight="1"/>
    <row r="512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165" customHeight="1"/>
    <row r="526" ht="75" customHeight="1"/>
    <row r="534" ht="30" customHeight="1"/>
    <row r="535" ht="30" customHeight="1"/>
    <row r="542" ht="30" customHeight="1"/>
    <row r="543" ht="165" customHeight="1"/>
    <row r="546" ht="30" customHeight="1"/>
    <row r="547" ht="60" customHeight="1"/>
    <row r="548" ht="75" customHeight="1"/>
    <row r="551" ht="75" customHeight="1"/>
    <row r="581" ht="30" customHeight="1"/>
    <row r="583" ht="30" customHeight="1"/>
    <row r="585" ht="45" customHeight="1"/>
    <row r="586" ht="30" customHeight="1"/>
    <row r="587" ht="45" customHeight="1"/>
    <row r="588" ht="30" customHeight="1"/>
    <row r="590" ht="165" customHeight="1"/>
    <row r="592" ht="28.5" customHeight="1"/>
    <row r="593" ht="120" customHeight="1"/>
    <row r="599" ht="30" customHeight="1"/>
    <row r="602" ht="30" customHeight="1"/>
    <row r="603" ht="30" customHeight="1"/>
    <row r="604" ht="30" customHeight="1"/>
    <row r="605" ht="30" customHeight="1"/>
    <row r="613" ht="30" customHeight="1"/>
    <row r="614" ht="45" customHeight="1"/>
    <row r="615" ht="30" customHeight="1"/>
    <row r="617" ht="165" customHeight="1"/>
    <row r="619" ht="28.5" customHeight="1"/>
    <row r="620" ht="90" customHeight="1"/>
    <row r="622" ht="45" customHeight="1"/>
    <row r="637" ht="30" customHeight="1"/>
    <row r="638" ht="30" customHeight="1"/>
    <row r="640" ht="30" customHeight="1"/>
    <row r="645" ht="30" customHeight="1"/>
    <row r="649" ht="28.5" customHeight="1"/>
    <row r="654" ht="30" customHeight="1"/>
    <row r="657" ht="45" customHeight="1"/>
    <row r="658" ht="45" customHeight="1"/>
    <row r="661" ht="30" customHeight="1"/>
    <row r="664" ht="135" customHeight="1"/>
    <row r="666" ht="28.5" customHeight="1"/>
    <row r="667" ht="90" customHeight="1"/>
    <row r="672" ht="45" customHeight="1"/>
    <row r="673" ht="30" customHeight="1"/>
    <row r="674" ht="30" customHeight="1"/>
    <row r="676" ht="90" customHeight="1"/>
    <row r="679" ht="45" customHeight="1"/>
    <row r="680" ht="30" customHeight="1"/>
    <row r="681" ht="30" customHeight="1"/>
    <row r="682" ht="165" customHeight="1"/>
    <row r="684" ht="28.5" customHeight="1"/>
    <row r="685" ht="105" customHeight="1"/>
    <row r="687" ht="30" customHeight="1"/>
    <row r="688" ht="45" customHeight="1"/>
    <row r="689" ht="30" customHeight="1"/>
    <row r="704" ht="30" customHeight="1"/>
    <row r="706" ht="30" customHeight="1"/>
    <row r="708" ht="45" customHeight="1"/>
    <row r="710" ht="28.5" customHeight="1"/>
    <row r="713" ht="30" customHeight="1"/>
    <row r="714" ht="30" customHeight="1"/>
    <row r="716" ht="30" customHeight="1"/>
    <row r="717" ht="30" customHeight="1"/>
    <row r="718" ht="45" customHeight="1"/>
    <row r="719" ht="45" customHeight="1"/>
    <row r="720" ht="135" customHeight="1"/>
    <row r="723" ht="30" customHeight="1"/>
    <row r="724" ht="60" customHeight="1"/>
    <row r="725" ht="45" customHeight="1"/>
    <row r="727" ht="28.5" customHeight="1"/>
    <row r="728" ht="90" customHeight="1"/>
    <row r="729" ht="28.5" customHeight="1"/>
    <row r="736" ht="30" customHeight="1"/>
    <row r="737" ht="28.5" customHeight="1"/>
    <row r="778" ht="45" customHeight="1"/>
    <row r="782" ht="45" customHeight="1"/>
    <row r="791" ht="28.5" customHeight="1"/>
    <row r="793" ht="28.5" customHeight="1"/>
    <row r="794" ht="75" customHeight="1"/>
    <row r="795" ht="28.5" customHeight="1"/>
    <row r="804" ht="30" customHeight="1"/>
    <row r="805" ht="28.5" customHeight="1"/>
    <row r="808" ht="30" customHeight="1"/>
    <row r="809" ht="28.5" customHeight="1"/>
    <row r="816" ht="28.5" customHeight="1"/>
    <row r="818" ht="28.5" customHeight="1"/>
    <row r="819" ht="75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8" ht="30" customHeight="1"/>
    <row r="829" ht="30" customHeight="1"/>
    <row r="831" ht="28.5" customHeight="1"/>
    <row r="832" ht="45" customHeight="1"/>
    <row r="839" ht="28.5" customHeight="1"/>
    <row r="840" ht="30" customHeight="1"/>
    <row r="841" ht="30" customHeight="1"/>
    <row r="846" ht="45" customHeight="1"/>
    <row r="848" ht="28.5" customHeight="1"/>
    <row r="849" ht="105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2" ht="28.5" customHeight="1"/>
    <row r="873" ht="75" customHeight="1"/>
    <row r="874" ht="28.5" customHeight="1"/>
    <row r="877" ht="30" customHeight="1"/>
    <row r="878" ht="42.75" customHeight="1"/>
    <row r="885" ht="30" customHeight="1"/>
    <row r="886" ht="28.5" customHeight="1"/>
    <row r="890" ht="30" customHeight="1"/>
    <row r="891" ht="28.5" customHeight="1"/>
    <row r="895" ht="30" customHeight="1"/>
    <row r="900" ht="30" customHeight="1"/>
    <row r="901" ht="28.5" customHeight="1"/>
    <row r="906" ht="30" customHeight="1"/>
    <row r="907" ht="28.5" customHeight="1"/>
    <row r="909" ht="28.5" customHeight="1"/>
    <row r="910" ht="60" customHeight="1"/>
    <row r="911" ht="28.5" customHeight="1"/>
    <row r="917" ht="30" customHeight="1"/>
    <row r="918" ht="28.5" customHeight="1"/>
    <row r="923" ht="30" customHeight="1"/>
    <row r="924" ht="28.5" customHeight="1"/>
    <row r="931" ht="30" customHeight="1"/>
    <row r="932" ht="28.5" customHeight="1"/>
    <row r="938" ht="30" customHeight="1"/>
    <row r="939" ht="28.5" customHeight="1"/>
    <row r="944" ht="30" customHeight="1"/>
    <row r="945" ht="28.5" customHeight="1"/>
    <row r="955" ht="28.5" customHeight="1"/>
    <row r="957" ht="28.5" customHeight="1"/>
    <row r="963" ht="75" customHeight="1"/>
    <row r="964" ht="75" customHeight="1"/>
    <row r="965" ht="75" customHeight="1"/>
    <row r="966" ht="75" customHeight="1"/>
    <row r="970" ht="30" customHeight="1"/>
    <row r="971" ht="30" customHeight="1"/>
    <row r="973" ht="30" customHeight="1"/>
    <row r="974" ht="30" customHeight="1"/>
    <row r="980" ht="75" customHeight="1"/>
    <row r="982" ht="30" customHeight="1"/>
    <row r="986" ht="30" customHeight="1"/>
    <row r="1003" ht="28.5" customHeight="1"/>
    <row r="1022" ht="30" customHeight="1"/>
    <row r="1049" ht="45" customHeight="1"/>
    <row r="1050" ht="28.5" customHeight="1"/>
    <row r="1051" ht="30" customHeight="1"/>
    <row r="1052" ht="30" customHeight="1"/>
    <row r="1053" ht="30" customHeight="1"/>
    <row r="1054" ht="30" customHeight="1"/>
    <row r="1066" ht="30" customHeight="1"/>
    <row r="1068" ht="75" customHeight="1"/>
    <row r="1069" ht="60" customHeight="1"/>
    <row r="1072" ht="30" customHeight="1"/>
    <row r="1075" ht="30" customHeight="1"/>
    <row r="1079" ht="120" customHeight="1"/>
    <row r="1081" ht="45" customHeight="1"/>
    <row r="1082" ht="45" customHeight="1"/>
    <row r="1083" ht="45" customHeight="1"/>
    <row r="1084" ht="45" customHeight="1"/>
    <row r="1088" ht="30" customHeight="1"/>
    <row r="1091" ht="30" customHeight="1"/>
    <row r="1096" ht="45" customHeight="1"/>
    <row r="1097" ht="45" customHeight="1"/>
    <row r="1098" ht="30" customHeight="1"/>
    <row r="1099" ht="30" customHeight="1"/>
    <row r="1100" ht="30" customHeight="1"/>
    <row r="1101" ht="45" customHeight="1"/>
    <row r="1102" ht="45" customHeight="1"/>
    <row r="1103" ht="45" customHeight="1"/>
    <row r="1104" ht="45" customHeight="1"/>
    <row r="1105" ht="45" customHeight="1"/>
    <row r="1106" ht="45" customHeight="1"/>
    <row r="1107" ht="45" customHeight="1"/>
    <row r="1108" ht="45" customHeight="1"/>
    <row r="1109" ht="45" customHeight="1"/>
    <row r="1113" ht="30" customHeight="1"/>
    <row r="1116" ht="30" customHeight="1"/>
    <row r="1121" ht="135" customHeight="1"/>
    <row r="1123" ht="30" customHeight="1"/>
    <row r="1125" ht="30" customHeight="1"/>
    <row r="1129" ht="60" customHeight="1"/>
    <row r="1131" ht="30" customHeight="1"/>
    <row r="1133" ht="30" customHeight="1"/>
    <row r="1134" ht="45" customHeight="1"/>
    <row r="1135" ht="30" customHeight="1"/>
    <row r="1137" ht="30" customHeight="1"/>
    <row r="1150" ht="30" customHeight="1"/>
    <row r="1151" ht="45" customHeight="1"/>
    <row r="1152" ht="30" customHeight="1"/>
    <row r="1153" ht="30" customHeight="1"/>
    <row r="1155" ht="30" customHeight="1"/>
    <row r="1156" ht="30" customHeight="1"/>
    <row r="1157" ht="28.5" customHeight="1"/>
    <row r="1158" ht="30" customHeight="1"/>
    <row r="1160" ht="60" customHeight="1"/>
    <row r="1162" ht="28.5" customHeight="1"/>
    <row r="1164" ht="28.5" customHeight="1"/>
    <row r="1165" ht="45" customHeight="1"/>
    <row r="1166" ht="45" customHeight="1"/>
    <row r="1167" ht="45" customHeight="1"/>
    <row r="1168" ht="45" customHeight="1"/>
    <row r="1169" ht="45" customHeight="1"/>
    <row r="1170" ht="45" customHeight="1"/>
    <row r="1171" ht="45" customHeight="1"/>
    <row r="1172" ht="45" customHeight="1"/>
    <row r="1173" ht="45" customHeight="1"/>
    <row r="1174" ht="30" customHeight="1"/>
    <row r="1175" ht="30" customHeight="1"/>
    <row r="1178" ht="30" customHeight="1"/>
    <row r="1181" ht="30" customHeight="1"/>
    <row r="1182" ht="30" customHeight="1"/>
    <row r="1183" ht="30" customHeight="1"/>
    <row r="1184" ht="30" customHeight="1"/>
    <row r="1185" ht="30" customHeight="1"/>
    <row r="1186" ht="30" customHeight="1"/>
    <row r="1200" ht="90" customHeight="1"/>
    <row r="1239" ht="30" customHeight="1"/>
    <row r="1243" ht="75" customHeight="1"/>
    <row r="1247" ht="30" customHeight="1"/>
    <row r="1248" ht="30" customHeight="1"/>
    <row r="1252" ht="30" customHeight="1"/>
    <row r="1253" ht="30" customHeight="1"/>
    <row r="1258" ht="30" customHeight="1"/>
    <row r="1260" ht="30" customHeight="1"/>
    <row r="1318" ht="30" customHeight="1"/>
    <row r="1354" ht="30" customHeight="1"/>
    <row r="1355" ht="30" customHeight="1"/>
    <row r="1356" ht="30" customHeight="1"/>
    <row r="1357" ht="30" customHeight="1"/>
    <row r="1358" ht="30" customHeight="1"/>
    <row r="1359" ht="30" customHeight="1"/>
    <row r="1360" ht="30" customHeight="1"/>
    <row r="1361" ht="30" customHeight="1"/>
    <row r="1362" ht="30" customHeight="1"/>
    <row r="1363" ht="30" customHeight="1"/>
    <row r="1364" ht="30" customHeight="1"/>
    <row r="1365" ht="30" customHeight="1"/>
    <row r="1366" ht="30" customHeight="1"/>
    <row r="1367" ht="30" customHeight="1"/>
    <row r="1368" ht="30" customHeight="1"/>
    <row r="1369" ht="30" customHeight="1"/>
    <row r="1370" ht="30" customHeight="1"/>
    <row r="1371" ht="30" customHeight="1"/>
    <row r="1372" ht="30" customHeight="1"/>
    <row r="1373" ht="30" customHeight="1"/>
    <row r="1375" ht="30" customHeight="1"/>
    <row r="1376" ht="30" customHeight="1"/>
    <row r="1377" ht="30" customHeight="1"/>
    <row r="1378" ht="30" customHeight="1"/>
    <row r="1379" ht="30" customHeight="1"/>
    <row r="1380" ht="30" customHeight="1"/>
    <row r="1381" ht="30" customHeight="1"/>
    <row r="1382" ht="30" customHeight="1"/>
    <row r="1383" ht="30" customHeight="1"/>
    <row r="1384" ht="30" customHeight="1"/>
    <row r="1385" ht="30" customHeight="1"/>
    <row r="1386" ht="30" customHeight="1"/>
    <row r="1387" ht="30" customHeight="1"/>
    <row r="1388" ht="30" customHeight="1"/>
    <row r="1389" ht="30" customHeight="1"/>
    <row r="1390" ht="30" customHeight="1"/>
    <row r="1391" ht="30" customHeight="1"/>
    <row r="1392" ht="30" customHeight="1"/>
    <row r="1393" ht="30" customHeight="1"/>
    <row r="1394" ht="30" customHeight="1"/>
    <row r="1395" ht="30" customHeight="1"/>
    <row r="1396" ht="30" customHeight="1"/>
    <row r="1397" ht="30" customHeight="1"/>
    <row r="1398" ht="30" customHeight="1"/>
    <row r="1399" ht="30" customHeight="1"/>
    <row r="1400" ht="30" customHeight="1"/>
    <row r="1401" ht="30" customHeight="1"/>
    <row r="1402" ht="30" customHeight="1"/>
    <row r="1403" ht="30" customHeight="1"/>
    <row r="1404" ht="30" customHeight="1"/>
    <row r="1405" ht="30" customHeight="1"/>
    <row r="1406" ht="30" customHeight="1"/>
    <row r="1407" ht="30" customHeight="1"/>
    <row r="1408" ht="30" customHeight="1"/>
    <row r="1409" ht="30" customHeight="1"/>
    <row r="1410" ht="30" customHeight="1"/>
    <row r="1411" ht="30" customHeight="1"/>
    <row r="1442" ht="30" customHeight="1"/>
    <row r="1451" ht="75" customHeight="1"/>
    <row r="1495" ht="30" customHeight="1"/>
    <row r="1500" ht="75" customHeight="1"/>
    <row r="1628" ht="28.5" customHeight="1"/>
    <row r="1638" ht="30" customHeight="1"/>
    <row r="1677" ht="42.75" customHeight="1"/>
    <row r="1680" ht="30" customHeight="1"/>
    <row r="1682" ht="28.5" customHeight="1"/>
    <row r="1683" ht="30" customHeight="1"/>
    <row r="1684" ht="60" customHeight="1"/>
    <row r="1685" ht="45" customHeight="1"/>
    <row r="1687" ht="28.5" customHeight="1"/>
    <row r="1758" ht="30" customHeight="1"/>
    <row r="1762" ht="18.75" customHeight="1"/>
  </sheetData>
  <mergeCells count="49">
    <mergeCell ref="S11:S12"/>
    <mergeCell ref="AM10:AM12"/>
    <mergeCell ref="AW11:AX11"/>
    <mergeCell ref="P10:Q10"/>
    <mergeCell ref="AQ11:AR11"/>
    <mergeCell ref="L10:L12"/>
    <mergeCell ref="R10:S10"/>
    <mergeCell ref="N10:N12"/>
    <mergeCell ref="H11:H12"/>
    <mergeCell ref="J11:J12"/>
    <mergeCell ref="P11:P12"/>
    <mergeCell ref="BC10:BC12"/>
    <mergeCell ref="A5:BC5"/>
    <mergeCell ref="K11:K12"/>
    <mergeCell ref="AT10:AV10"/>
    <mergeCell ref="AS11:AS12"/>
    <mergeCell ref="F10:F12"/>
    <mergeCell ref="A10:A12"/>
    <mergeCell ref="AW10:AY10"/>
    <mergeCell ref="U11:V11"/>
    <mergeCell ref="AQ10:AS10"/>
    <mergeCell ref="AV11:AV12"/>
    <mergeCell ref="O10:O12"/>
    <mergeCell ref="D10:D12"/>
    <mergeCell ref="W11:Y11"/>
    <mergeCell ref="H10:K10"/>
    <mergeCell ref="AN11:AN12"/>
    <mergeCell ref="AC11:AE11"/>
    <mergeCell ref="AP11:AP12"/>
    <mergeCell ref="AN10:AP10"/>
    <mergeCell ref="AK11:AL11"/>
    <mergeCell ref="AF11:AJ11"/>
    <mergeCell ref="AY11:AY12"/>
    <mergeCell ref="Q11:Q12"/>
    <mergeCell ref="U10:AL10"/>
    <mergeCell ref="T10:T12"/>
    <mergeCell ref="C10:C12"/>
    <mergeCell ref="G10:G12"/>
    <mergeCell ref="M10:M12"/>
    <mergeCell ref="Z11:AB11"/>
    <mergeCell ref="BB11:BB12"/>
    <mergeCell ref="AZ10:BB10"/>
    <mergeCell ref="B10:B12"/>
    <mergeCell ref="AT11:AU11"/>
    <mergeCell ref="AZ11:BA11"/>
    <mergeCell ref="E10:E12"/>
    <mergeCell ref="AO11:AO12"/>
    <mergeCell ref="R11:R12"/>
    <mergeCell ref="I11:I12"/>
  </mergeCells>
  <pageMargins left="0.27" right="0.2362204724409449" top="0.63" bottom="0.5118110236220472" header="0.3149606299212598" footer="0.3149606299212598"/>
  <pageSetup orientation="landscape" paperSize="9" scale="2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Ton Nguyen</dc:creator>
  <dcterms:created xmlns:dcterms="http://purl.org/dc/terms/" xmlns:xsi="http://www.w3.org/2001/XMLSchema-instance" xsi:type="dcterms:W3CDTF">2014-05-26T02:37:01Z</dcterms:created>
  <dcterms:modified xmlns:dcterms="http://purl.org/dc/terms/" xmlns:xsi="http://www.w3.org/2001/XMLSchema-instance" xsi:type="dcterms:W3CDTF">2026-10-09T04:01:53Z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0x01010075B6A8C9338EB849829AF3AD121ECB0A</vt:lpwstr>
  </property>
  <property name="Order" fmtid="{D5CDD505-2E9C-101B-9397-08002B2CF9AE}" pid="3">
    <vt:r8 xmlns:vt="http://schemas.openxmlformats.org/officeDocument/2006/docPropsVTypes">11500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AuthorIds_UIVersion_74752" fmtid="{D5CDD505-2E9C-101B-9397-08002B2CF9AE}" pid="8">
    <vt:lpwstr xmlns:vt="http://schemas.openxmlformats.org/officeDocument/2006/docPropsVTypes">44</vt:lpwstr>
  </property>
  <property name="MediaServiceImageTags" fmtid="{D5CDD505-2E9C-101B-9397-08002B2CF9AE}" pid="9">
    <vt:lpwstr xmlns:vt="http://schemas.openxmlformats.org/officeDocument/2006/docPropsVTypes"/>
  </property>
</Properties>
</file>